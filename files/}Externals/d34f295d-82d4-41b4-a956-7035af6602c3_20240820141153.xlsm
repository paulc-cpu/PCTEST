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.crohas\AppData\Local\Temp\"/>
    </mc:Choice>
  </mc:AlternateContent>
  <xr:revisionPtr revIDLastSave="0" documentId="8_{9D3A716E-C6B1-4001-ACA1-310A18F069D8}" xr6:coauthVersionLast="47" xr6:coauthVersionMax="47" xr10:uidLastSave="{00000000-0000-0000-0000-000000000000}"/>
  <bookViews>
    <workbookView xWindow="-108" yWindow="-108" windowWidth="23256" windowHeight="12456" firstSheet="1" activeTab="1" xr2:uid="{71C41E89-0AC4-4A77-A9E0-8E98FD537829}"/>
  </bookViews>
  <sheets>
    <sheet name="Cognos_Office_Connection_Cache" sheetId="2" state="veryHidden" r:id="rId1"/>
    <sheet name="Universal" sheetId="6" r:id="rId2"/>
    <sheet name="Parameters" sheetId="9" r:id="rId3"/>
  </sheets>
  <definedNames>
    <definedName name="Datasource">Parameters!$B$1</definedName>
    <definedName name="ID" localSheetId="0" hidden="1">"4b24e474-32f7-45a2-8802-a7351d4cf6e6"</definedName>
    <definedName name="ID" localSheetId="2" hidden="1">"646bb3ef-95dd-409f-bcff-4136188e344b"</definedName>
    <definedName name="ID" localSheetId="1" hidden="1">"9af5271c-8fd8-4446-b60b-da34b43e9915"</definedName>
    <definedName name="msg_confirm">Parameters!$B$4</definedName>
    <definedName name="msg_fail">Parameters!$B$6</definedName>
    <definedName name="msg_success">Parameters!$B$5</definedName>
    <definedName name="Server">Parameters!$B$2</definedName>
    <definedName name="TI_name">Parameters!$B$3</definedName>
    <definedName name="TI_param">#REF!</definedName>
    <definedName name="TM1REBUILDOPTION">1</definedName>
    <definedName name="tm2\\_0_c" localSheetId="1">Universal!$F$43:$O$44</definedName>
    <definedName name="tm2\\_0_calcs" localSheetId="1">Universal!$C$34:$G$34</definedName>
    <definedName name="tm2\\_0_cg" localSheetId="1">Universal!$P$43:$P$48</definedName>
    <definedName name="tm2\\_0_cx" localSheetId="1">Universal!$F$35:$O$35</definedName>
    <definedName name="tm2\\_0_d" localSheetId="1">Universal!$F$45:$O$48</definedName>
    <definedName name="tm2\\_0_p" localSheetId="1">Universal!$B$1:$B$6</definedName>
    <definedName name="tm2\\_0_q" localSheetId="1">Universal!$B$8</definedName>
    <definedName name="tm2\\_0_r" localSheetId="1">Universal!$D$45:$E$48</definedName>
    <definedName name="tm2\\_0_rg" localSheetId="1">Universal!$D$49:$O$49</definedName>
    <definedName name="tm2\\_0_rx" localSheetId="1">Universal!$C$45:$C$48</definedName>
    <definedName name="tm2\\_0_slicers" localSheetId="1">Universal!$F$39:$F$41</definedName>
    <definedName name="tm2\\_hc" localSheetId="1">Universal!$A:$C</definedName>
    <definedName name="tm2\\_hr" localSheetId="1">Universal!$1:$36</definedName>
    <definedName name="tm2\\_tracked" localSheetId="1">Universal!$B$17:$C$17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9" l="1" a="1"/>
  <c r="B2" i="9" a="1"/>
  <c r="B2" i="9" l="1"/>
  <c r="B1" i="9"/>
  <c r="B1" i="6" l="1"/>
  <c r="B2" i="6"/>
  <c r="E5" i="6"/>
  <c r="E6" i="6"/>
  <c r="B14" i="6"/>
  <c r="B15" i="6" s="1"/>
  <c r="C14" i="6"/>
  <c r="C16" i="6" s="1"/>
  <c r="A30" i="6"/>
  <c r="B34" i="6"/>
  <c r="A35" i="6"/>
  <c r="C30" i="6" s="1"/>
  <c r="B35" i="6"/>
  <c r="F41" i="6"/>
  <c r="F39" i="6"/>
  <c r="F40" i="6"/>
  <c r="B17" i="6"/>
  <c r="C17" i="6"/>
  <c r="O35" i="6"/>
  <c r="N35" i="6"/>
  <c r="J35" i="6"/>
  <c r="H35" i="6"/>
  <c r="C45" i="6"/>
  <c r="G35" i="6"/>
  <c r="K35" i="6"/>
  <c r="F35" i="6"/>
  <c r="I35" i="6"/>
  <c r="L35" i="6"/>
  <c r="M35" i="6"/>
  <c r="C46" i="6"/>
  <c r="C48" i="6"/>
  <c r="C47" i="6"/>
  <c r="C39" i="6" l="1"/>
  <c r="C41" i="6"/>
  <c r="C40" i="6"/>
  <c r="C18" i="6"/>
  <c r="B18" i="6"/>
  <c r="B16" i="6"/>
  <c r="D6" i="6" s="1"/>
  <c r="C6" i="6" s="1"/>
  <c r="B6" i="6" s="1"/>
  <c r="C15" i="6"/>
  <c r="D5" i="6" s="1"/>
  <c r="C5" i="6" s="1"/>
  <c r="B5" i="6" s="1"/>
  <c r="B32" i="6" l="1"/>
  <c r="A19" i="6"/>
  <c r="C19" i="6" s="1"/>
  <c r="B8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<sst xmlns="http://schemas.openxmlformats.org/spreadsheetml/2006/main" count="77" uniqueCount="53">
  <si>
    <t>FY 2004 Budget</t>
  </si>
  <si>
    <t>FY 2004 Forecast</t>
  </si>
  <si>
    <t>2004</t>
  </si>
  <si>
    <t>Q1-2004</t>
  </si>
  <si>
    <t>Q2-2004</t>
  </si>
  <si>
    <t>Q3-2004</t>
  </si>
  <si>
    <t>Q4-2004</t>
  </si>
  <si>
    <t>Revenue</t>
  </si>
  <si>
    <t>Total Business Unit</t>
  </si>
  <si>
    <t>COS</t>
  </si>
  <si>
    <t>Operating Expense</t>
  </si>
  <si>
    <t>Net Operating Income</t>
  </si>
  <si>
    <t>plan_department</t>
  </si>
  <si>
    <t>plan_exchange_rates</t>
  </si>
  <si>
    <t>plan_source</t>
  </si>
  <si>
    <t>local</t>
  </si>
  <si>
    <t>input</t>
  </si>
  <si>
    <t>Supprimer les lignes et les colonnes</t>
  </si>
  <si>
    <t>Zero Suppression:</t>
  </si>
  <si>
    <t>1000</t>
  </si>
  <si>
    <t>{TM1SubsetToSet([plan_department].[plan_department], "All Departments")}</t>
  </si>
  <si>
    <t>{TM1SubsetToSet([plan_exchange_rates].[plan_exchange_rates], "local exchange rate")}</t>
  </si>
  <si>
    <t>{TM1SubsetToSet([plan_source].[plan_source], "input")}</t>
  </si>
  <si>
    <t>Datasource</t>
  </si>
  <si>
    <t>Server</t>
  </si>
  <si>
    <t>Display Toggle</t>
  </si>
  <si>
    <t>Indents Per Level</t>
  </si>
  <si>
    <t>Active Display</t>
  </si>
  <si>
    <t>Expand Aboves</t>
  </si>
  <si>
    <t>Query</t>
  </si>
  <si>
    <t>RowAxisSets</t>
  </si>
  <si>
    <t>{[plan_chart_of_accounts].[plan_chart_of_accounts].[Revenue],[plan_chart_of_accounts].[plan_chart_of_accounts].[COS],[plan_chart_of_accounts].[plan_chart_of_accounts].[Operating Expense],[plan_chart_of_accounts].[plan_chart_of_accounts].[Net Operating Income]}</t>
  </si>
  <si>
    <t>{[plan_business_unit].[plan_business_unit].[10000]}</t>
  </si>
  <si>
    <t>plan_chart_of_accounts</t>
  </si>
  <si>
    <t>plan_business_unit</t>
  </si>
  <si>
    <t>AccountName</t>
  </si>
  <si>
    <t>BusinessUnit</t>
  </si>
  <si>
    <t>ColumnAxisSets</t>
  </si>
  <si>
    <t>{[plan_version].[plan_version].[FY 2004 Budget],[plan_version].[plan_version].[FY 2004 Forecast]}*{DRILLDOWNMEMBER({[plan_time].[plan_time].[2004]} , {[plan_time].[plan_time].[2004]} , RECURSIVE)}</t>
  </si>
  <si>
    <t>Slicers</t>
  </si>
  <si>
    <t>Calcs</t>
  </si>
  <si>
    <t/>
  </si>
  <si>
    <t>Supprimer les lignes uniquement</t>
  </si>
  <si>
    <t>Supprimer les colonnes uniquement</t>
  </si>
  <si>
    <t>Aucune suppression</t>
  </si>
  <si>
    <t>TI_name</t>
  </si>
  <si>
    <t>ZZ_TEST_TI_BUTTON</t>
  </si>
  <si>
    <t>msg_confirm</t>
  </si>
  <si>
    <t>msg_success</t>
  </si>
  <si>
    <t>msg_fail</t>
  </si>
  <si>
    <t>Run process?</t>
  </si>
  <si>
    <t>Execution succesful</t>
  </si>
  <si>
    <t>Execution 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</si>
</sst>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\+\ @"/>
    <numFmt numFmtId="166" formatCode="\-\ 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.5"/>
      <color rgb="FF165D81"/>
      <name val="Calibri"/>
      <family val="2"/>
    </font>
    <font>
      <b/>
      <sz val="10.5"/>
      <color theme="1" tint="0.2499465926084170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sz val="10.5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BED7A5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74">
    <xf numFmtId="0" fontId="0" fillId="0" borderId="0"/>
    <xf numFmtId="0" fontId="2" fillId="0" borderId="1" applyNumberFormat="0" applyFill="0" applyProtection="0">
      <alignment horizontal="center" vertical="center"/>
    </xf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2" fillId="0" borderId="1" applyNumberFormat="0" applyFill="0" applyAlignment="0" applyProtection="0"/>
    <xf numFmtId="0" fontId="2" fillId="0" borderId="1" applyNumberFormat="0" applyFill="0" applyAlignment="0" applyProtection="0"/>
    <xf numFmtId="3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2" applyNumberFormat="0" applyBorder="0" applyAlignment="0" applyProtection="0"/>
    <xf numFmtId="3" fontId="3" fillId="0" borderId="2" applyNumberFormat="0" applyBorder="0" applyAlignment="0" applyProtection="0"/>
    <xf numFmtId="3" fontId="3" fillId="0" borderId="2" applyNumberFormat="0" applyBorder="0" applyAlignment="0" applyProtection="0"/>
    <xf numFmtId="0" fontId="3" fillId="0" borderId="2" applyNumberFormat="0" applyFill="0" applyAlignment="0" applyProtection="0"/>
    <xf numFmtId="0" fontId="3" fillId="0" borderId="2" applyNumberFormat="0" applyFill="0" applyAlignment="0" applyProtection="0"/>
    <xf numFmtId="0" fontId="3" fillId="0" borderId="2">
      <alignment horizontal="right" vertical="center"/>
    </xf>
    <xf numFmtId="3" fontId="3" fillId="2" borderId="2">
      <alignment horizontal="center" vertical="center"/>
    </xf>
    <xf numFmtId="0" fontId="3" fillId="2" borderId="2">
      <alignment horizontal="right" vertical="center"/>
    </xf>
    <xf numFmtId="0" fontId="2" fillId="0" borderId="3">
      <alignment horizontal="left" vertical="center"/>
    </xf>
    <xf numFmtId="0" fontId="2" fillId="0" borderId="4">
      <alignment horizontal="center" vertical="center"/>
    </xf>
    <xf numFmtId="0" fontId="4" fillId="0" borderId="5">
      <alignment horizontal="center" vertical="center"/>
    </xf>
    <xf numFmtId="0" fontId="3" fillId="3" borderId="2"/>
    <xf numFmtId="3" fontId="2" fillId="0" borderId="1" applyFill="0" applyAlignment="0" applyProtection="0"/>
    <xf numFmtId="3" fontId="2" fillId="0" borderId="1" applyFill="0" applyAlignment="0" applyProtection="0"/>
    <xf numFmtId="3" fontId="2" fillId="0" borderId="1" applyFill="0" applyAlignment="0" applyProtection="0"/>
    <xf numFmtId="3" fontId="2" fillId="0" borderId="1" applyFill="0" applyAlignment="0" applyProtection="0"/>
    <xf numFmtId="0" fontId="2" fillId="0" borderId="1" applyFill="0" applyAlignment="0" applyProtection="0"/>
    <xf numFmtId="3" fontId="2" fillId="0" borderId="1" applyFill="0" applyAlignment="0" applyProtection="0"/>
    <xf numFmtId="0" fontId="2" fillId="0" borderId="4">
      <alignment horizontal="center" vertical="center"/>
    </xf>
    <xf numFmtId="0" fontId="2" fillId="0" borderId="4">
      <alignment horizontal="center" vertical="center"/>
    </xf>
    <xf numFmtId="3" fontId="3" fillId="0" borderId="2" applyFont="0" applyFill="0" applyAlignment="0" applyProtection="0"/>
    <xf numFmtId="0" fontId="3" fillId="0" borderId="2" applyFill="0" applyAlignment="0" applyProtection="0"/>
    <xf numFmtId="0" fontId="2" fillId="0" borderId="1" applyFill="0" applyAlignment="0" applyProtection="0"/>
    <xf numFmtId="3" fontId="2" fillId="0" borderId="1" applyFill="0" applyAlignment="0" applyProtection="0"/>
    <xf numFmtId="0" fontId="2" fillId="0" borderId="1" applyFill="0" applyAlignment="0" applyProtection="0"/>
    <xf numFmtId="0" fontId="2" fillId="0" borderId="1" applyFill="0" applyAlignment="0" applyProtection="0"/>
    <xf numFmtId="0" fontId="2" fillId="0" borderId="1" applyFill="0" applyAlignment="0" applyProtection="0"/>
    <xf numFmtId="0" fontId="2" fillId="0" borderId="1" applyFill="0" applyAlignment="0" applyProtection="0"/>
    <xf numFmtId="0" fontId="2" fillId="0" borderId="3">
      <alignment horizontal="left" vertical="center"/>
    </xf>
    <xf numFmtId="3" fontId="2" fillId="0" borderId="1" applyFill="0" applyAlignment="0" applyProtection="0"/>
    <xf numFmtId="3" fontId="5" fillId="0" borderId="2"/>
    <xf numFmtId="3" fontId="6" fillId="0" borderId="2"/>
    <xf numFmtId="0" fontId="2" fillId="0" borderId="4">
      <alignment horizontal="left" vertical="top"/>
    </xf>
    <xf numFmtId="0" fontId="7" fillId="0" borderId="2"/>
    <xf numFmtId="0" fontId="2" fillId="0" borderId="4">
      <alignment horizontal="left" vertical="center"/>
    </xf>
    <xf numFmtId="0" fontId="3" fillId="2" borderId="6"/>
    <xf numFmtId="3" fontId="3" fillId="0" borderId="2">
      <alignment horizontal="right" vertical="center"/>
    </xf>
    <xf numFmtId="0" fontId="2" fillId="0" borderId="4">
      <alignment horizontal="right" vertical="center"/>
    </xf>
    <xf numFmtId="0" fontId="3" fillId="0" borderId="5">
      <alignment horizontal="center" vertical="center"/>
    </xf>
    <xf numFmtId="3" fontId="3" fillId="0" borderId="2"/>
    <xf numFmtId="3" fontId="3" fillId="0" borderId="2"/>
    <xf numFmtId="0" fontId="3" fillId="0" borderId="5">
      <alignment horizontal="center" vertical="center" wrapText="1"/>
    </xf>
    <xf numFmtId="0" fontId="8" fillId="0" borderId="5">
      <alignment horizontal="left" vertical="center" indent="1"/>
    </xf>
    <xf numFmtId="0" fontId="9" fillId="0" borderId="2"/>
    <xf numFmtId="0" fontId="2" fillId="0" borderId="3">
      <alignment horizontal="left" vertical="center"/>
    </xf>
    <xf numFmtId="3" fontId="3" fillId="0" borderId="2">
      <alignment horizontal="center" vertical="center"/>
    </xf>
    <xf numFmtId="0" fontId="2" fillId="0" borderId="4">
      <alignment horizontal="center" vertical="center"/>
    </xf>
    <xf numFmtId="0" fontId="2" fillId="0" borderId="4">
      <alignment horizontal="center" vertical="center"/>
    </xf>
    <xf numFmtId="0" fontId="2" fillId="0" borderId="3">
      <alignment horizontal="left" vertical="center"/>
    </xf>
    <xf numFmtId="0" fontId="2" fillId="0" borderId="3">
      <alignment horizontal="left" vertical="center"/>
    </xf>
    <xf numFmtId="0" fontId="10" fillId="0" borderId="2"/>
  </cellStyleXfs>
  <cellXfs count="14">
    <xf numFmtId="0" fontId="0" fillId="0" borderId="0" xfId="0"/>
    <xf numFmtId="0" fontId="3" fillId="0" borderId="2" xfId="44"/>
    <xf numFmtId="0" fontId="11" fillId="0" borderId="0" xfId="0" applyFont="1"/>
    <xf numFmtId="3" fontId="1" fillId="0" borderId="2" xfId="43" applyFont="1"/>
    <xf numFmtId="165" fontId="11" fillId="0" borderId="0" xfId="0" quotePrefix="1" applyNumberFormat="1" applyFont="1" applyAlignment="1"/>
    <xf numFmtId="49" fontId="11" fillId="0" borderId="0" xfId="0" quotePrefix="1" applyNumberFormat="1" applyFont="1" applyAlignment="1"/>
    <xf numFmtId="166" fontId="11" fillId="0" borderId="0" xfId="0" quotePrefix="1" applyNumberFormat="1" applyFont="1" applyAlignment="1"/>
    <xf numFmtId="165" fontId="11" fillId="0" borderId="0" xfId="0" quotePrefix="1" applyNumberFormat="1" applyFont="1" applyAlignment="1">
      <alignment horizontal="left" indent="1"/>
    </xf>
    <xf numFmtId="0" fontId="3" fillId="0" borderId="2" xfId="44" applyFill="1"/>
    <xf numFmtId="0" fontId="0" fillId="0" borderId="0" xfId="0" applyBorder="1"/>
    <xf numFmtId="0" fontId="3" fillId="0" borderId="0" xfId="44" applyBorder="1"/>
    <xf numFmtId="0" fontId="3" fillId="0" borderId="0" xfId="44" quotePrefix="1" applyBorder="1"/>
    <xf numFmtId="0" fontId="3" fillId="0" borderId="0" xfId="28" applyBorder="1">
      <alignment horizontal="right" vertical="center"/>
    </xf>
    <xf numFmtId="0" fontId="11" fillId="0" borderId="0" xfId="0" applyFont="1" applyBorder="1"/>
  </cellXfs>
  <cellStyles count="74">
    <cellStyle name="AF Column - IBM Cognos" xfId="1" xr:uid="{F3FB5075-46FF-436F-BBAF-C466578F1B1E}"/>
    <cellStyle name="AF Data - IBM Cognos" xfId="2" xr:uid="{E68DCAB5-B4BF-4E85-B53F-51E7EECBE5B7}"/>
    <cellStyle name="AF Data 0 - IBM Cognos" xfId="3" xr:uid="{E72BEED1-A005-4F78-A77C-32680A03E001}"/>
    <cellStyle name="AF Data 1 - IBM Cognos" xfId="4" xr:uid="{12068AC7-B605-4E7E-8965-D4A7A2F24258}"/>
    <cellStyle name="AF Data 2 - IBM Cognos" xfId="5" xr:uid="{1A406CB7-7860-4B38-A002-0F0514413531}"/>
    <cellStyle name="AF Data 3 - IBM Cognos" xfId="6" xr:uid="{BB845935-A057-4AC7-8EA8-2DE8F3D0128E}"/>
    <cellStyle name="AF Data 4 - IBM Cognos" xfId="7" xr:uid="{AF9F02DC-44E5-49BA-A469-28AA933D6BB1}"/>
    <cellStyle name="AF Data 5 - IBM Cognos" xfId="8" xr:uid="{8538595B-1A80-43C9-A492-1093FAED95EA}"/>
    <cellStyle name="AF Data Leaf - IBM Cognos" xfId="9" xr:uid="{B4514935-FD5C-4DD1-9B77-39B5C3A0C584}"/>
    <cellStyle name="AF Header - IBM Cognos" xfId="10" xr:uid="{4B95822E-552D-47FB-88EC-C82189E45B48}"/>
    <cellStyle name="AF Header 0 - IBM Cognos" xfId="11" xr:uid="{CF0A7750-9440-4D90-9395-C2CE41B86523}"/>
    <cellStyle name="AF Header 1 - IBM Cognos" xfId="12" xr:uid="{C9F09984-86F3-4493-9DE0-F0896E9DC47B}"/>
    <cellStyle name="AF Header 2 - IBM Cognos" xfId="13" xr:uid="{1906DEB8-2423-4061-893D-3850440DD4AF}"/>
    <cellStyle name="AF Header 3 - IBM Cognos" xfId="14" xr:uid="{AB7F96AB-BCFE-45C5-9A3B-77590C64B7F3}"/>
    <cellStyle name="AF Header 4 - IBM Cognos" xfId="15" xr:uid="{0FFABFD2-7624-437D-B1E7-A87544BFD46E}"/>
    <cellStyle name="AF Header 5 - IBM Cognos" xfId="16" xr:uid="{AC34EF67-DF82-453D-A623-F2482ABDDA65}"/>
    <cellStyle name="AF Header Leaf - IBM Cognos" xfId="17" xr:uid="{6F9870D7-0C8B-4191-81CA-47B2CBF4F9C0}"/>
    <cellStyle name="AF Row - IBM Cognos" xfId="18" xr:uid="{68D08395-4D6B-453C-82C8-DFCEA7615D74}"/>
    <cellStyle name="AF Row 0 - IBM Cognos" xfId="19" xr:uid="{C6D7539F-2368-460F-A9ED-9A3E4DEFB251}"/>
    <cellStyle name="AF Row 1 - IBM Cognos" xfId="20" xr:uid="{D0212B94-2CA9-4A14-AF0F-53453496B68A}"/>
    <cellStyle name="AF Row 2 - IBM Cognos" xfId="21" xr:uid="{194FFD4A-4410-4C38-8552-8D41BBEC28FB}"/>
    <cellStyle name="AF Row 3 - IBM Cognos" xfId="22" xr:uid="{82CD9884-F6FC-4823-8765-0201D5078A97}"/>
    <cellStyle name="AF Row 4 - IBM Cognos" xfId="23" xr:uid="{5D8D31CB-E10A-4A27-A163-9D906D9399BE}"/>
    <cellStyle name="AF Row 5 - IBM Cognos" xfId="24" xr:uid="{3178B739-E8AA-4C60-8DC9-C1469DE4236F}"/>
    <cellStyle name="AF Row Leaf - IBM Cognos" xfId="25" xr:uid="{E8D045B7-560E-4251-99D3-09E3619F8A27}"/>
    <cellStyle name="AF Subnm - IBM Cognos" xfId="26" xr:uid="{E90E13BE-C636-490C-A130-DB4A6DFFFB6F}"/>
    <cellStyle name="AF Title - IBM Cognos" xfId="27" xr:uid="{7A4EA88C-FCAD-4774-B822-D09F72CCFCEA}"/>
    <cellStyle name="Calculated Column - IBM Cognos" xfId="28" xr:uid="{620D0856-8922-47ED-ABFB-828FD8692DE4}"/>
    <cellStyle name="Calculated Column Name - IBM Cognos" xfId="29" xr:uid="{95CB0C98-E151-4388-B68D-808B039650AB}"/>
    <cellStyle name="Calculated Row - IBM Cognos" xfId="30" xr:uid="{231DF1DD-47EF-47D5-92A8-F15ADC273A3F}"/>
    <cellStyle name="Calculated Row Name - IBM Cognos" xfId="31" xr:uid="{AACC7D82-E4B6-45D1-BBFE-B7B85E529592}"/>
    <cellStyle name="Column Name - IBM Cognos" xfId="32" xr:uid="{D7305AF0-95DE-4175-AB07-9634BA143C32}"/>
    <cellStyle name="Column Template - IBM Cognos" xfId="33" xr:uid="{A12A1B58-B8C2-4336-BE58-CC4B71DCF053}"/>
    <cellStyle name="Differs From Base - IBM Cognos" xfId="34" xr:uid="{5F52B2C9-7ECC-4998-8D71-347B723CD4F4}"/>
    <cellStyle name="DQR Column 0 - IBM Cognos" xfId="35" xr:uid="{FB4FEDFC-69BC-4C95-B574-DD07121881BD}"/>
    <cellStyle name="DQR Column 1 - IBM Cognos" xfId="36" xr:uid="{E6267270-487D-47AB-8FAB-54F235ADCFA1}"/>
    <cellStyle name="DQR Column 2 - IBM Cognos" xfId="37" xr:uid="{C6E4976F-B772-472E-A5C8-241868B7FA7E}"/>
    <cellStyle name="DQR Column 3 - IBM Cognos" xfId="38" xr:uid="{71A2F1AC-CBC8-4D83-A381-7ECD248FE6A8}"/>
    <cellStyle name="DQR Column 4 - IBM Cognos" xfId="39" xr:uid="{FF762DF5-D060-4FA7-86F8-BCEC5978ED76}"/>
    <cellStyle name="DQR Column 5 - IBM Cognos" xfId="40" xr:uid="{27F25908-5031-4A78-B73D-5DE089F9B844}"/>
    <cellStyle name="DQR Column Default - IBM Cognos" xfId="41" xr:uid="{F66343F6-8DD5-4D3A-997C-CBEA3ADEDEB9}"/>
    <cellStyle name="DQR Column Leaf - IBM Cognos" xfId="42" xr:uid="{8DB5A147-FFD4-4815-9EA0-D59ECDA4225F}"/>
    <cellStyle name="DQR Data Default - IBM Cognos" xfId="43" xr:uid="{A78E2F57-DC8F-4B4A-B9E3-185EE88F8330}"/>
    <cellStyle name="DQR Default - IBM Cognos" xfId="44" xr:uid="{C01C1EB2-7804-4FE6-8645-D348332B737E}"/>
    <cellStyle name="DQR Row 0 - IBM Cognos" xfId="45" xr:uid="{03367696-81EB-4DE7-841B-F937139E4A2E}"/>
    <cellStyle name="DQR Row 1 - IBM Cognos" xfId="46" xr:uid="{549C42D0-2D7C-47DA-A3DD-5B89CEF6F75C}"/>
    <cellStyle name="DQR Row 2 - IBM Cognos" xfId="47" xr:uid="{149A1D72-9DD6-4958-B7D1-90797DA6F1FA}"/>
    <cellStyle name="DQR Row 3 - IBM Cognos" xfId="48" xr:uid="{BEFBFB44-C8C0-4D4E-9A73-01BC2CEF8442}"/>
    <cellStyle name="DQR Row 4 - IBM Cognos" xfId="49" xr:uid="{DE7E5CD1-6D4D-46F5-B7BF-851F7E3C3341}"/>
    <cellStyle name="DQR Row 5 - IBM Cognos" xfId="50" xr:uid="{B17F0338-DBD5-4AEF-A2FF-78CD0315BD91}"/>
    <cellStyle name="DQR Row Default - IBM Cognos" xfId="51" xr:uid="{578B2B87-6B09-4B05-A03B-AEBE36A51BA6}"/>
    <cellStyle name="DQR Row Leaf - IBM Cognos" xfId="52" xr:uid="{4382CD08-6814-4DED-A4ED-3A82C66D3C81}"/>
    <cellStyle name="Edit - IBM Cognos" xfId="53" xr:uid="{3448AE64-AE50-4DE8-A511-A1BAEEC41C08}"/>
    <cellStyle name="Formula - IBM Cognos" xfId="54" xr:uid="{A09E3457-8E37-424F-A928-0A0C747A7E53}"/>
    <cellStyle name="Group Name - IBM Cognos" xfId="55" xr:uid="{C14589EE-C169-4388-9428-EA66EE739C12}"/>
    <cellStyle name="Hold Values - IBM Cognos" xfId="56" xr:uid="{C894E664-2DE7-430A-A3CF-8D5E8FBDC07B}"/>
    <cellStyle name="List Name - IBM Cognos" xfId="57" xr:uid="{50ED250E-BB35-43C9-A35B-86F99B6E8D57}"/>
    <cellStyle name="Locked - IBM Cognos" xfId="58" xr:uid="{930E3F35-2DA5-4F99-9D71-3B4595BF2CCB}"/>
    <cellStyle name="Measure - IBM Cognos" xfId="59" xr:uid="{082C6BD3-D0BE-4E94-B226-24BA45D0196C}"/>
    <cellStyle name="Measure Header - IBM Cognos" xfId="60" xr:uid="{3DD772FF-237E-45FD-B883-B06925C1E118}"/>
    <cellStyle name="Measure Name - IBM Cognos" xfId="61" xr:uid="{4E15960A-589C-42CE-A9D9-1D22B8F69ADA}"/>
    <cellStyle name="Measure Summary - IBM Cognos" xfId="62" xr:uid="{4B5FC29B-D0B9-4B4F-B095-5431EACFEEC9}"/>
    <cellStyle name="Measure Summary TM1 - IBM Cognos" xfId="63" xr:uid="{8A90C498-A5A5-43C2-8F5C-2214B18EA359}"/>
    <cellStyle name="Measure Template - IBM Cognos" xfId="64" xr:uid="{6378B370-7676-4682-B17C-64BF02478A80}"/>
    <cellStyle name="More - IBM Cognos" xfId="65" xr:uid="{2BF3B2DA-89FD-4F0F-9281-EC04A2835A61}"/>
    <cellStyle name="Normal" xfId="0" builtinId="0" customBuiltin="1"/>
    <cellStyle name="Pending Change - IBM Cognos" xfId="66" xr:uid="{D69257BB-38A3-4531-8097-54E0AFEC2F3D}"/>
    <cellStyle name="Row Name - IBM Cognos" xfId="67" xr:uid="{1A7434D6-1734-4F57-873F-3F6DC3E0E53A}"/>
    <cellStyle name="Row Template - IBM Cognos" xfId="68" xr:uid="{49EAB2C8-4E38-4FA6-BDE1-3CD83A353297}"/>
    <cellStyle name="Summary Column Name - IBM Cognos" xfId="69" xr:uid="{D1BFC89B-2044-4DBA-AF54-FFF30E129D2D}"/>
    <cellStyle name="Summary Column Name TM1 - IBM Cognos" xfId="70" xr:uid="{6971D9F8-340D-4011-AC1E-61F23BC281AE}"/>
    <cellStyle name="Summary Row Name - IBM Cognos" xfId="71" xr:uid="{3E8017E2-3D17-4699-90D9-F7B9AA1DAE1B}"/>
    <cellStyle name="Summary Row Name TM1 - IBM Cognos" xfId="72" xr:uid="{D19F82E7-CD58-4864-BD06-B0E1E21A4AA0}"/>
    <cellStyle name="Unsaved Change - IBM Cognos" xfId="73" xr:uid="{830783DB-5F3B-4535-8522-5DF26FCCC833}"/>
  </cellStyles>
  <dxfs count="18"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FFFFFF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FFFFFF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Relationship Id="rId4" Type="http://schemas.openxmlformats.org/officeDocument/2006/relationships/customProperty" Target="../customProperty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89891-99D7-4F52-8D2C-B5B48AF41D1E}">
  <sheetPr codeName="Feuil1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  <headerFooter>
    <oddFooter>&amp;C_x000D_&amp;1#&amp;"arial"&amp;9&amp;K008000 C1 - Internal use</oddFooter>
  </headerFooter>
  <customProperties>
    <customPr name="CafeStyleVersion" r:id="rId1"/>
    <customPr name="LastTupleSet_0" r:id="rId2"/>
    <customPr name="LastTupleSet_COR_MapAnnotations" r:id="rId3"/>
    <customPr name="LastTupleSet_COR_Mappings" r:id="rId4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1B7E9-F62C-4462-BB30-B4731E5B8E79}">
  <sheetPr codeName="Feuil6"/>
  <dimension ref="A1:O48"/>
  <sheetViews>
    <sheetView showGridLines="0" tabSelected="1" workbookViewId="0"/>
  </sheetViews>
  <sheetFormatPr baseColWidth="10" defaultRowHeight="14.4" outlineLevelRow="1" outlineLevelCol="1" x14ac:dyDescent="0.3"/>
  <cols>
    <col min="1" max="3" width="11.5546875" customWidth="1" outlineLevel="1"/>
    <col min="4" max="4" width="21.21875" customWidth="1"/>
    <col min="5" max="5" width="30.77734375" customWidth="1"/>
    <col min="6" max="6" width="16.44140625" customWidth="1"/>
    <col min="7" max="10" width="13.77734375" customWidth="1"/>
    <col min="11" max="15" width="14.77734375" customWidth="1"/>
  </cols>
  <sheetData>
    <row r="1" spans="1:12" outlineLevel="1" x14ac:dyDescent="0.3">
      <c r="A1" s="10" t="s">
        <v>23</v>
      </c>
      <c r="B1" s="10" t="str">
        <f>Datasource</f>
        <v>https://oa-pa-users.planning-analytics.cloud.ibm.com/</v>
      </c>
      <c r="C1" s="10"/>
      <c r="D1" s="9"/>
      <c r="E1" s="9"/>
      <c r="F1" s="9"/>
      <c r="G1" s="9"/>
      <c r="H1" s="9"/>
      <c r="I1" s="9"/>
      <c r="J1" s="9"/>
      <c r="K1" s="9"/>
      <c r="L1" s="9"/>
    </row>
    <row r="2" spans="1:12" outlineLevel="1" x14ac:dyDescent="0.3">
      <c r="A2" s="10" t="s">
        <v>24</v>
      </c>
      <c r="B2" s="10" t="str">
        <f>Server</f>
        <v>Planning Sample</v>
      </c>
      <c r="C2" s="10"/>
      <c r="D2" s="9"/>
      <c r="E2" s="9"/>
      <c r="F2" s="9"/>
      <c r="G2" s="9"/>
      <c r="H2" s="9"/>
      <c r="I2" s="9"/>
      <c r="J2" s="9"/>
      <c r="K2" s="9"/>
      <c r="L2" s="9"/>
    </row>
    <row r="3" spans="1:12" outlineLevel="1" x14ac:dyDescent="0.3">
      <c r="A3" s="10" t="s">
        <v>25</v>
      </c>
      <c r="B3" s="10" t="b">
        <v>1</v>
      </c>
      <c r="C3" s="10"/>
      <c r="D3" s="9"/>
      <c r="E3" s="9"/>
      <c r="F3" s="9"/>
      <c r="G3" s="9"/>
      <c r="H3" s="9"/>
      <c r="I3" s="9"/>
      <c r="J3" s="9"/>
      <c r="K3" s="9"/>
      <c r="L3" s="9"/>
    </row>
    <row r="4" spans="1:12" outlineLevel="1" x14ac:dyDescent="0.3">
      <c r="A4" s="10" t="s">
        <v>26</v>
      </c>
      <c r="B4" s="10">
        <v>1</v>
      </c>
      <c r="C4" s="10"/>
      <c r="D4" s="9"/>
      <c r="E4" s="9"/>
      <c r="F4" s="9"/>
      <c r="G4" s="9"/>
      <c r="H4" s="9"/>
      <c r="I4" s="9"/>
      <c r="J4" s="9"/>
      <c r="K4" s="9"/>
      <c r="L4" s="9"/>
    </row>
    <row r="5" spans="1:12" outlineLevel="1" x14ac:dyDescent="0.3">
      <c r="A5" s="10" t="s">
        <v>27</v>
      </c>
      <c r="B5" s="10" t="str">
        <f>"{" &amp; $C$5 &amp; ", " &amp; _xll.MakeJSON("[plan_time].[plan_time]","Time") &amp; ", " &amp; _xll.MakeJSON("[plan_version].[plan_version]","VersionName") &amp; "}"</f>
        <v>{"[plan_chart_of_accounts].[plan_chart_of_accounts]" : "AccountName","[plan_business_unit].[plan_business_unit]" : "BusinessUnit", "[plan_time].[plan_time]" : "Time", "[plan_version].[plan_version]" : "VersionName"}</v>
      </c>
      <c r="C5" s="10" t="str">
        <f>_xll.ConcatStrings(",",$D$5:$E$5)</f>
        <v>"[plan_chart_of_accounts].[plan_chart_of_accounts]" : "AccountName","[plan_business_unit].[plan_business_unit]" : "BusinessUnit"</v>
      </c>
      <c r="D5" s="10" t="str">
        <f>_xll.ConcatStrings(",",$B$15:$C$15)</f>
        <v>"[plan_chart_of_accounts].[plan_chart_of_accounts]" : "AccountName","[plan_business_unit].[plan_business_unit]" : "BusinessUnit"</v>
      </c>
      <c r="E5" s="10" t="str">
        <f>_xll.ConcatStrings(",",$B$26:$B$26)</f>
        <v/>
      </c>
      <c r="F5" s="9"/>
      <c r="G5" s="9"/>
      <c r="H5" s="9"/>
      <c r="I5" s="9"/>
      <c r="J5" s="9"/>
      <c r="K5" s="9"/>
      <c r="L5" s="9"/>
    </row>
    <row r="6" spans="1:12" outlineLevel="1" x14ac:dyDescent="0.3">
      <c r="A6" s="10" t="s">
        <v>28</v>
      </c>
      <c r="B6" s="10" t="str">
        <f>"{" &amp; $C$6 &amp; ", " &amp; _xll.MakeJSON("[plan_time].[plan_time]","false") &amp; ", " &amp; _xll.MakeJSON("[plan_version].[plan_version]","false") &amp; "}"</f>
        <v>{"[plan_chart_of_accounts].[plan_chart_of_accounts]" : "false","[plan_business_unit].[plan_business_unit]" : "false", "[plan_time].[plan_time]" : "false", "[plan_version].[plan_version]" : "false"}</v>
      </c>
      <c r="C6" s="10" t="str">
        <f>_xll.ConcatStrings(",",$D$6:$E$6)</f>
        <v>"[plan_chart_of_accounts].[plan_chart_of_accounts]" : "false","[plan_business_unit].[plan_business_unit]" : "false"</v>
      </c>
      <c r="D6" s="10" t="str">
        <f>_xll.ConcatStrings(",",$B$16:$C$16)</f>
        <v>"[plan_chart_of_accounts].[plan_chart_of_accounts]" : "false","[plan_business_unit].[plan_business_unit]" : "false"</v>
      </c>
      <c r="E6" s="10" t="str">
        <f>_xll.ConcatStrings(",",$B$27:$B$27)</f>
        <v/>
      </c>
      <c r="F6" s="9"/>
      <c r="G6" s="9"/>
      <c r="H6" s="9"/>
      <c r="I6" s="9"/>
      <c r="J6" s="9"/>
      <c r="K6" s="9"/>
      <c r="L6" s="9"/>
    </row>
    <row r="7" spans="1:12" outlineLevel="1" x14ac:dyDescent="0.3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</row>
    <row r="8" spans="1:12" outlineLevel="1" x14ac:dyDescent="0.3">
      <c r="A8" s="10" t="s">
        <v>29</v>
      </c>
      <c r="B8" s="10" t="str">
        <f>_xll.MakeQuery($B$34,$C$30,$C$19,"plan_BudgetPlan",$B$32,"")</f>
        <v xml:space="preserve"> SELECT NON EMPTY TM1IGNORE_BADTUPLES {  { {[plan_version].[plan_version].[FY 2004 Budget],[plan_version].[plan_version].[FY 2004 Forecast]}*{DRILLDOWNMEMBER({[plan_time].[plan_time].[2004]} , {[plan_time].[plan_time].[2004]} , RECURSIVE)} }  }  ON 0,NON EMPTY TM1IGNORE_BADTUPLES {  {  { TM1SubsetToSet([plan_chart_of_accounts].[plan_chart_of_accounts],'yw5ci3kDAIASAAAQ') * TM1SubsetToSet([plan_business_unit].[plan_business_unit],'yw5ci3kDAIAUAAAQ') }  }  }  ON 1 FROM [plan_BudgetPlan] WHERE ([plan_department].[plan_department].[Total Organization],[plan_exchange_rates].[plan_exchange_rates].[local],[plan_source].[plan_source].[input])</v>
      </c>
      <c r="C8" s="10"/>
      <c r="D8" s="9"/>
      <c r="E8" s="9"/>
      <c r="F8" s="9"/>
      <c r="G8" s="9"/>
      <c r="H8" s="9"/>
      <c r="I8" s="9"/>
      <c r="J8" s="9"/>
      <c r="K8" s="9"/>
      <c r="L8" s="9"/>
    </row>
    <row r="9" spans="1:12" outlineLevel="1" x14ac:dyDescent="0.3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12" outlineLevel="1" x14ac:dyDescent="0.3">
      <c r="A10" s="10" t="s">
        <v>30</v>
      </c>
      <c r="B10" s="10" t="s">
        <v>31</v>
      </c>
      <c r="C10" s="10" t="s">
        <v>32</v>
      </c>
      <c r="D10" s="9"/>
      <c r="E10" s="9"/>
      <c r="F10" s="9"/>
      <c r="G10" s="9"/>
      <c r="H10" s="9"/>
      <c r="I10" s="9"/>
      <c r="J10" s="9"/>
      <c r="K10" s="9"/>
      <c r="L10" s="9"/>
    </row>
    <row r="11" spans="1:12" outlineLevel="1" x14ac:dyDescent="0.3">
      <c r="A11" s="10"/>
      <c r="B11" s="10" t="s">
        <v>33</v>
      </c>
      <c r="C11" s="10" t="s">
        <v>34</v>
      </c>
      <c r="D11" s="10"/>
      <c r="E11" s="10"/>
      <c r="F11" s="9"/>
      <c r="G11" s="9"/>
      <c r="H11" s="9"/>
      <c r="I11" s="9"/>
      <c r="J11" s="9"/>
      <c r="K11" s="9"/>
      <c r="L11" s="9"/>
    </row>
    <row r="12" spans="1:12" outlineLevel="1" x14ac:dyDescent="0.3">
      <c r="A12" s="10"/>
      <c r="B12" s="10" t="s">
        <v>33</v>
      </c>
      <c r="C12" s="10" t="s">
        <v>34</v>
      </c>
      <c r="D12" s="10"/>
      <c r="E12" s="10"/>
      <c r="F12" s="9"/>
      <c r="G12" s="9"/>
      <c r="H12" s="9"/>
      <c r="I12" s="9"/>
      <c r="J12" s="9"/>
      <c r="K12" s="9"/>
      <c r="L12" s="9"/>
    </row>
    <row r="13" spans="1:12" outlineLevel="1" x14ac:dyDescent="0.3">
      <c r="A13" s="10"/>
      <c r="B13" s="10" t="s">
        <v>35</v>
      </c>
      <c r="C13" s="10" t="s">
        <v>36</v>
      </c>
      <c r="D13" s="10"/>
      <c r="E13" s="10"/>
      <c r="F13" s="9"/>
      <c r="G13" s="9"/>
      <c r="H13" s="9"/>
      <c r="I13" s="9"/>
      <c r="J13" s="9"/>
      <c r="K13" s="9"/>
      <c r="L13" s="9"/>
    </row>
    <row r="14" spans="1:12" outlineLevel="1" x14ac:dyDescent="0.3">
      <c r="A14" s="10"/>
      <c r="B14" s="10" t="str">
        <f>_xll.MakeMun($B$11,_xll.BracketEscape($B$12))</f>
        <v>[plan_chart_of_accounts].[plan_chart_of_accounts]</v>
      </c>
      <c r="C14" s="10" t="str">
        <f>_xll.MakeMun($C$11,_xll.BracketEscape($C$12))</f>
        <v>[plan_business_unit].[plan_business_unit]</v>
      </c>
      <c r="D14" s="10"/>
      <c r="E14" s="10"/>
      <c r="F14" s="9"/>
      <c r="G14" s="9"/>
      <c r="H14" s="9"/>
      <c r="I14" s="9"/>
      <c r="J14" s="9"/>
      <c r="K14" s="9"/>
      <c r="L14" s="9"/>
    </row>
    <row r="15" spans="1:12" outlineLevel="1" x14ac:dyDescent="0.3">
      <c r="A15" s="10"/>
      <c r="B15" s="10" t="str">
        <f>_xll.MakeJSON($B$14,$B$13)</f>
        <v>"[plan_chart_of_accounts].[plan_chart_of_accounts]" : "AccountName"</v>
      </c>
      <c r="C15" s="10" t="str">
        <f>_xll.MakeJSON($C$14,$C$13)</f>
        <v>"[plan_business_unit].[plan_business_unit]" : "BusinessUnit"</v>
      </c>
      <c r="D15" s="10"/>
      <c r="E15" s="10"/>
      <c r="F15" s="9"/>
      <c r="G15" s="9"/>
      <c r="H15" s="9"/>
      <c r="I15" s="9"/>
      <c r="J15" s="9"/>
      <c r="K15" s="9"/>
      <c r="L15" s="9"/>
    </row>
    <row r="16" spans="1:12" outlineLevel="1" x14ac:dyDescent="0.3">
      <c r="A16" s="10"/>
      <c r="B16" s="10" t="str">
        <f>_xll.MakeJSON($B$14,"false")</f>
        <v>"[plan_chart_of_accounts].[plan_chart_of_accounts]" : "false"</v>
      </c>
      <c r="C16" s="10" t="str">
        <f>_xll.MakeJSON($C$14,"false")</f>
        <v>"[plan_business_unit].[plan_business_unit]" : "false"</v>
      </c>
      <c r="D16" s="10"/>
      <c r="E16" s="10"/>
      <c r="F16" s="9"/>
      <c r="G16" s="9"/>
      <c r="H16" s="9"/>
      <c r="I16" s="9"/>
      <c r="J16" s="9"/>
      <c r="K16" s="9"/>
      <c r="L16" s="9"/>
    </row>
    <row r="17" spans="1:12" outlineLevel="1" x14ac:dyDescent="0.3">
      <c r="A17" s="10"/>
      <c r="B17" s="10" t="str">
        <f>_xll.TM1SET($B$1,$B$2,$B$11,$B$12,$B$10,,,$B$13,"sessionSet")</f>
        <v>yw5ci3kDAIASAAAQ</v>
      </c>
      <c r="C17" s="10" t="str">
        <f>_xll.TM1SET($B$1,$B$2,$C$11,$C$12,$C$10,,,$C$13,"sessionSet")</f>
        <v>yw5ci3kDAIAUAAAQ</v>
      </c>
      <c r="D17" s="10"/>
      <c r="E17" s="10"/>
      <c r="F17" s="9"/>
      <c r="G17" s="9"/>
      <c r="H17" s="9"/>
      <c r="I17" s="9"/>
      <c r="J17" s="9"/>
      <c r="K17" s="9"/>
      <c r="L17" s="9"/>
    </row>
    <row r="18" spans="1:12" outlineLevel="1" x14ac:dyDescent="0.3">
      <c r="A18" s="10"/>
      <c r="B18" s="10" t="str">
        <f>"TM1SubsetToSet("&amp;$B$14&amp;","&amp;"'"&amp;$B$17&amp;"')"</f>
        <v>TM1SubsetToSet([plan_chart_of_accounts].[plan_chart_of_accounts],'yw5ci3kDAIASAAAQ')</v>
      </c>
      <c r="C18" s="10" t="str">
        <f>"TM1SubsetToSet("&amp;$C$14&amp;","&amp;"'"&amp;$C$17&amp;"')"</f>
        <v>TM1SubsetToSet([plan_business_unit].[plan_business_unit],'yw5ci3kDAIAUAAAQ')</v>
      </c>
      <c r="D18" s="10"/>
      <c r="E18" s="10"/>
      <c r="F18" s="9"/>
      <c r="G18" s="9"/>
      <c r="H18" s="9"/>
      <c r="I18" s="9"/>
      <c r="J18" s="9"/>
      <c r="K18" s="9"/>
      <c r="L18" s="9"/>
    </row>
    <row r="19" spans="1:12" outlineLevel="1" x14ac:dyDescent="0.3">
      <c r="A19" s="10" t="str">
        <f>_xll.ConcatCrossJoin($B$18:$C$18)</f>
        <v xml:space="preserve"> { TM1SubsetToSet([plan_chart_of_accounts].[plan_chart_of_accounts],'yw5ci3kDAIASAAAQ') * TM1SubsetToSet([plan_business_unit].[plan_business_unit],'yw5ci3kDAIAUAAAQ') } </v>
      </c>
      <c r="B19" s="10"/>
      <c r="C19" s="10" t="str">
        <f>_xll.MakeAxis($B$35,$A$19,"1",$B$19)</f>
        <v>NON EMPTY TM1IGNORE_BADTUPLES {  {  { TM1SubsetToSet([plan_chart_of_accounts].[plan_chart_of_accounts],'yw5ci3kDAIASAAAQ') * TM1SubsetToSet([plan_business_unit].[plan_business_unit],'yw5ci3kDAIAUAAAQ') }  }  }  ON 1</v>
      </c>
      <c r="D19" s="10"/>
      <c r="E19" s="10"/>
      <c r="F19" s="9"/>
      <c r="G19" s="9"/>
      <c r="H19" s="9"/>
      <c r="I19" s="9"/>
      <c r="J19" s="9"/>
      <c r="K19" s="9"/>
      <c r="L19" s="9"/>
    </row>
    <row r="20" spans="1:12" outlineLevel="1" x14ac:dyDescent="0.3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</row>
    <row r="21" spans="1:12" outlineLevel="1" x14ac:dyDescent="0.3">
      <c r="A21" s="10" t="s">
        <v>37</v>
      </c>
      <c r="B21" s="10" t="s">
        <v>38</v>
      </c>
      <c r="C21" s="10"/>
      <c r="D21" s="9"/>
      <c r="E21" s="9"/>
      <c r="F21" s="9"/>
      <c r="G21" s="9"/>
      <c r="H21" s="9"/>
      <c r="I21" s="9"/>
      <c r="J21" s="9"/>
      <c r="K21" s="9"/>
      <c r="L21" s="9"/>
    </row>
    <row r="22" spans="1:12" outlineLevel="1" x14ac:dyDescent="0.3">
      <c r="A22" s="10"/>
      <c r="B22" s="10"/>
      <c r="C22" s="10"/>
      <c r="D22" s="9"/>
      <c r="E22" s="9"/>
      <c r="F22" s="9"/>
      <c r="G22" s="9"/>
      <c r="H22" s="9"/>
      <c r="I22" s="9"/>
      <c r="J22" s="9"/>
      <c r="K22" s="9"/>
      <c r="L22" s="9"/>
    </row>
    <row r="23" spans="1:12" outlineLevel="1" x14ac:dyDescent="0.3">
      <c r="A23" s="10"/>
      <c r="B23" s="10"/>
      <c r="C23" s="10"/>
      <c r="D23" s="9"/>
      <c r="E23" s="9"/>
      <c r="F23" s="9"/>
      <c r="G23" s="9"/>
      <c r="H23" s="9"/>
      <c r="I23" s="9"/>
      <c r="J23" s="9"/>
      <c r="K23" s="9"/>
      <c r="L23" s="9"/>
    </row>
    <row r="24" spans="1:12" outlineLevel="1" x14ac:dyDescent="0.3">
      <c r="A24" s="10"/>
      <c r="B24" s="10"/>
      <c r="C24" s="10"/>
      <c r="D24" s="9"/>
      <c r="E24" s="9"/>
      <c r="F24" s="9"/>
      <c r="G24" s="9"/>
      <c r="H24" s="9"/>
      <c r="I24" s="9"/>
      <c r="J24" s="9"/>
      <c r="K24" s="9"/>
      <c r="L24" s="9"/>
    </row>
    <row r="25" spans="1:12" outlineLevel="1" x14ac:dyDescent="0.3">
      <c r="A25" s="10"/>
      <c r="B25" s="10"/>
      <c r="C25" s="10"/>
      <c r="D25" s="9"/>
      <c r="E25" s="9"/>
      <c r="F25" s="9"/>
      <c r="G25" s="9"/>
      <c r="H25" s="9"/>
      <c r="I25" s="9"/>
      <c r="J25" s="9"/>
      <c r="K25" s="9"/>
      <c r="L25" s="9"/>
    </row>
    <row r="26" spans="1:12" outlineLevel="1" x14ac:dyDescent="0.3">
      <c r="A26" s="10"/>
      <c r="B26" s="10"/>
      <c r="C26" s="10"/>
      <c r="D26" s="9"/>
      <c r="E26" s="9"/>
      <c r="F26" s="9"/>
      <c r="G26" s="9"/>
      <c r="H26" s="9"/>
      <c r="I26" s="9"/>
      <c r="J26" s="9"/>
      <c r="K26" s="9"/>
      <c r="L26" s="9"/>
    </row>
    <row r="27" spans="1:12" outlineLevel="1" x14ac:dyDescent="0.3">
      <c r="A27" s="10"/>
      <c r="B27" s="10"/>
      <c r="C27" s="10"/>
      <c r="D27" s="9"/>
      <c r="E27" s="9"/>
      <c r="F27" s="9"/>
      <c r="G27" s="9"/>
      <c r="H27" s="9"/>
      <c r="I27" s="9"/>
      <c r="J27" s="9"/>
      <c r="K27" s="9"/>
      <c r="L27" s="9"/>
    </row>
    <row r="28" spans="1:12" outlineLevel="1" x14ac:dyDescent="0.3">
      <c r="A28" s="10"/>
      <c r="B28" s="10"/>
      <c r="C28" s="10"/>
      <c r="D28" s="9"/>
      <c r="E28" s="9"/>
      <c r="F28" s="9"/>
      <c r="G28" s="9"/>
      <c r="H28" s="9"/>
      <c r="I28" s="9"/>
      <c r="J28" s="9"/>
      <c r="K28" s="9"/>
      <c r="L28" s="9"/>
    </row>
    <row r="29" spans="1:12" outlineLevel="1" x14ac:dyDescent="0.3">
      <c r="A29" s="10"/>
      <c r="B29" s="10"/>
      <c r="C29" s="10"/>
      <c r="D29" s="9"/>
      <c r="E29" s="9"/>
      <c r="F29" s="9"/>
      <c r="G29" s="9"/>
      <c r="H29" s="9"/>
      <c r="I29" s="9"/>
      <c r="J29" s="9"/>
      <c r="K29" s="9"/>
      <c r="L29" s="9"/>
    </row>
    <row r="30" spans="1:12" outlineLevel="1" x14ac:dyDescent="0.3">
      <c r="A30" s="10" t="str">
        <f>$B$21</f>
        <v>{[plan_version].[plan_version].[FY 2004 Budget],[plan_version].[plan_version].[FY 2004 Forecast]}*{DRILLDOWNMEMBER({[plan_time].[plan_time].[2004]} , {[plan_time].[plan_time].[2004]} , RECURSIVE)}</v>
      </c>
      <c r="B30" s="10"/>
      <c r="C30" s="10" t="str">
        <f>_xll.MakeAxis($A$35,$A$30,"0",$B$30)</f>
        <v>NON EMPTY TM1IGNORE_BADTUPLES {  { {[plan_version].[plan_version].[FY 2004 Budget],[plan_version].[plan_version].[FY 2004 Forecast]}*{DRILLDOWNMEMBER({[plan_time].[plan_time].[2004]} , {[plan_time].[plan_time].[2004]} , RECURSIVE)} }  }  ON 0</v>
      </c>
      <c r="D30" s="9"/>
      <c r="E30" s="9"/>
      <c r="F30" s="9"/>
      <c r="G30" s="9"/>
      <c r="H30" s="9"/>
      <c r="I30" s="9"/>
      <c r="J30" s="9"/>
      <c r="K30" s="9"/>
      <c r="L30" s="9"/>
    </row>
    <row r="31" spans="1:12" outlineLevel="1" x14ac:dyDescent="0.3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</row>
    <row r="32" spans="1:12" outlineLevel="1" x14ac:dyDescent="0.3">
      <c r="A32" s="10" t="s">
        <v>39</v>
      </c>
      <c r="B32" s="10" t="str">
        <f>_xll.ConcatComma($C$39:$C$41)</f>
        <v>[plan_department].[plan_department].[Total Organization],[plan_exchange_rates].[plan_exchange_rates].[local],[plan_source].[plan_source].[input]</v>
      </c>
      <c r="C32" s="10"/>
      <c r="D32" s="9"/>
      <c r="E32" s="9"/>
      <c r="F32" s="9"/>
      <c r="G32" s="9"/>
      <c r="H32" s="9"/>
      <c r="I32" s="9"/>
      <c r="J32" s="9"/>
      <c r="K32" s="9"/>
      <c r="L32" s="9"/>
    </row>
    <row r="33" spans="1:15" outlineLevel="1" x14ac:dyDescent="0.3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</row>
    <row r="34" spans="1:15" outlineLevel="1" x14ac:dyDescent="0.3">
      <c r="A34" s="10" t="s">
        <v>40</v>
      </c>
      <c r="B34" s="10" t="str">
        <f>_xll.ConcatStrings(,tm2\\_0_calcs)</f>
        <v/>
      </c>
      <c r="C34" s="11" t="s">
        <v>41</v>
      </c>
      <c r="D34" s="12"/>
      <c r="E34" s="12"/>
      <c r="F34" s="12"/>
      <c r="G34" s="12"/>
      <c r="H34" s="9"/>
      <c r="I34" s="9"/>
      <c r="J34" s="9"/>
      <c r="K34" s="9"/>
      <c r="L34" s="9"/>
    </row>
    <row r="35" spans="1:15" outlineLevel="1" x14ac:dyDescent="0.3">
      <c r="A35" s="10" t="str">
        <f>IF(OR(COUNTIF($E$37, "*Supprimer les colonnes uniquement*"), COUNTIF($E$37, "*Supprimer les lignes et les colonnes*")), "NON EMPTY", "")</f>
        <v>NON EMPTY</v>
      </c>
      <c r="B35" s="10" t="str">
        <f>IF(OR(COUNTIF($E$37, "*Supprimer les lignes uniquement*"), COUNTIF($E$37, "*Supprimer les lignes et les colonnes*")), "NON EMPTY", "")</f>
        <v>NON EMPTY</v>
      </c>
      <c r="C35" s="9"/>
      <c r="D35" s="9"/>
      <c r="E35" s="9"/>
      <c r="F35" s="13" t="str">
        <f ca="1">IF(_xll.TM2RPTELISCONSOLIDATED(F43),IF(_xll.TM2RPTELLEV(F43)&lt;=5,_xll.TM2RPTELLEV(F43),"Default"),"Leaf")</f>
        <v>Leaf</v>
      </c>
      <c r="G35" s="13" t="str">
        <f ca="1">IF(_xll.TM2RPTELISCONSOLIDATED(G43),IF(_xll.TM2RPTELLEV(G43)&lt;=5,_xll.TM2RPTELLEV(G43),"Default"),"Leaf")</f>
        <v>Leaf</v>
      </c>
      <c r="H35" s="13" t="str">
        <f ca="1">IF(_xll.TM2RPTELISCONSOLIDATED(H43),IF(_xll.TM2RPTELLEV(H43)&lt;=5,_xll.TM2RPTELLEV(H43),"Default"),"Leaf")</f>
        <v>Leaf</v>
      </c>
      <c r="I35" s="13" t="str">
        <f ca="1">IF(_xll.TM2RPTELISCONSOLIDATED(I43),IF(_xll.TM2RPTELLEV(I43)&lt;=5,_xll.TM2RPTELLEV(I43),"Default"),"Leaf")</f>
        <v>Leaf</v>
      </c>
      <c r="J35" s="13" t="str">
        <f ca="1">IF(_xll.TM2RPTELISCONSOLIDATED(J43),IF(_xll.TM2RPTELLEV(J43)&lt;=5,_xll.TM2RPTELLEV(J43),"Default"),"Leaf")</f>
        <v>Leaf</v>
      </c>
      <c r="K35" s="13" t="str">
        <f ca="1">IF(_xll.TM2RPTELISCONSOLIDATED(K43),IF(_xll.TM2RPTELLEV(K43)&lt;=5,_xll.TM2RPTELLEV(K43),"Default"),"Leaf")</f>
        <v>Leaf</v>
      </c>
      <c r="L35" s="13" t="str">
        <f ca="1">IF(_xll.TM2RPTELISCONSOLIDATED(L43),IF(_xll.TM2RPTELLEV(L43)&lt;=5,_xll.TM2RPTELLEV(L43),"Default"),"Leaf")</f>
        <v>Leaf</v>
      </c>
      <c r="M35" s="2" t="str">
        <f ca="1">IF(_xll.TM2RPTELISCONSOLIDATED(M43),IF(_xll.TM2RPTELLEV(M43)&lt;=5,_xll.TM2RPTELLEV(M43),"Default"),"Leaf")</f>
        <v>Leaf</v>
      </c>
      <c r="N35" s="2" t="str">
        <f ca="1">IF(_xll.TM2RPTELISCONSOLIDATED(N43),IF(_xll.TM2RPTELLEV(N43)&lt;=5,_xll.TM2RPTELLEV(N43),"Default"),"Leaf")</f>
        <v>Leaf</v>
      </c>
      <c r="O35" s="2" t="str">
        <f ca="1">IF(_xll.TM2RPTELISCONSOLIDATED(O43),IF(_xll.TM2RPTELLEV(O43)&lt;=5,_xll.TM2RPTELLEV(O43),"Default"),"Leaf")</f>
        <v>Leaf</v>
      </c>
    </row>
    <row r="36" spans="1:15" outlineLevel="1" x14ac:dyDescent="0.3">
      <c r="A36" s="10" t="s">
        <v>42</v>
      </c>
      <c r="B36" s="10" t="s">
        <v>43</v>
      </c>
      <c r="C36" s="10" t="s">
        <v>17</v>
      </c>
      <c r="D36" s="10" t="s">
        <v>44</v>
      </c>
      <c r="E36" s="9"/>
      <c r="F36" s="9"/>
      <c r="G36" s="9"/>
      <c r="H36" s="9"/>
      <c r="I36" s="9"/>
      <c r="J36" s="9"/>
      <c r="K36" s="9"/>
      <c r="L36" s="9"/>
    </row>
    <row r="37" spans="1:15" x14ac:dyDescent="0.3">
      <c r="A37" s="9"/>
      <c r="B37" s="9"/>
      <c r="C37" s="9"/>
      <c r="D37" s="10" t="s">
        <v>18</v>
      </c>
      <c r="E37" s="10" t="s">
        <v>17</v>
      </c>
      <c r="F37" s="10"/>
      <c r="G37" s="9"/>
      <c r="H37" s="9"/>
      <c r="I37" s="9"/>
      <c r="J37" s="9"/>
      <c r="K37" s="9"/>
      <c r="L37" s="9"/>
    </row>
    <row r="38" spans="1:15" x14ac:dyDescent="0.3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</row>
    <row r="39" spans="1:15" x14ac:dyDescent="0.3">
      <c r="A39" s="11" t="s">
        <v>19</v>
      </c>
      <c r="B39" s="10" t="s">
        <v>20</v>
      </c>
      <c r="C39" s="10" t="str">
        <f>_xll.MakeMun($D$39,_xll.BracketEscape($E$39),_xll.BracketEscape($F$39))</f>
        <v>[plan_department].[plan_department].[Total Organization]</v>
      </c>
      <c r="D39" s="10" t="s">
        <v>12</v>
      </c>
      <c r="E39" s="10" t="s">
        <v>12</v>
      </c>
      <c r="F39" s="10" t="str">
        <f>_xll.TM1SET($B$1,$B$2,$D$39,$E$39,$B$39,$A$39,,"Department","memberdisplay")</f>
        <v>Total Organization</v>
      </c>
      <c r="G39" s="10"/>
      <c r="H39" s="9"/>
      <c r="I39" s="9"/>
      <c r="J39" s="9"/>
      <c r="K39" s="9"/>
      <c r="L39" s="9"/>
    </row>
    <row r="40" spans="1:15" x14ac:dyDescent="0.3">
      <c r="A40" s="11" t="s">
        <v>15</v>
      </c>
      <c r="B40" s="10" t="s">
        <v>21</v>
      </c>
      <c r="C40" s="10" t="str">
        <f>_xll.MakeMun($D$40,_xll.BracketEscape($E$40),_xll.BracketEscape($F$40))</f>
        <v>[plan_exchange_rates].[plan_exchange_rates].[local]</v>
      </c>
      <c r="D40" s="10" t="s">
        <v>13</v>
      </c>
      <c r="E40" s="10" t="s">
        <v>13</v>
      </c>
      <c r="F40" s="10" t="str">
        <f>_xll.TM1SET($B$1,$B$2,$D$40,$E$40,$B$40,$A$40,,,"memberdisplay")</f>
        <v>local</v>
      </c>
      <c r="G40" s="10"/>
      <c r="H40" s="9"/>
      <c r="I40" s="9"/>
      <c r="J40" s="9"/>
      <c r="K40" s="9"/>
      <c r="L40" s="9"/>
    </row>
    <row r="41" spans="1:15" x14ac:dyDescent="0.3">
      <c r="A41" s="11" t="s">
        <v>16</v>
      </c>
      <c r="B41" s="10" t="s">
        <v>22</v>
      </c>
      <c r="C41" s="10" t="str">
        <f>_xll.MakeMun($D$41,_xll.BracketEscape($E$41),_xll.BracketEscape($F$41))</f>
        <v>[plan_source].[plan_source].[input]</v>
      </c>
      <c r="D41" s="10" t="s">
        <v>14</v>
      </c>
      <c r="E41" s="10" t="s">
        <v>14</v>
      </c>
      <c r="F41" s="10" t="str">
        <f>_xll.TM1SET($B$1,$B$2,$D$41,$E$41,$B$41,$A$41,,,"memberdisplay")</f>
        <v>input</v>
      </c>
      <c r="G41" s="10"/>
      <c r="H41" s="9"/>
      <c r="I41" s="9"/>
      <c r="J41" s="9"/>
      <c r="K41" s="9"/>
      <c r="L41" s="9"/>
    </row>
    <row r="43" spans="1:15" x14ac:dyDescent="0.3">
      <c r="F43" s="5" t="s">
        <v>0</v>
      </c>
      <c r="G43" s="5" t="s">
        <v>0</v>
      </c>
      <c r="H43" s="5" t="s">
        <v>0</v>
      </c>
      <c r="I43" s="5" t="s">
        <v>0</v>
      </c>
      <c r="J43" s="5" t="s">
        <v>0</v>
      </c>
      <c r="K43" s="5" t="s">
        <v>1</v>
      </c>
      <c r="L43" s="5" t="s">
        <v>1</v>
      </c>
      <c r="M43" s="5" t="s">
        <v>1</v>
      </c>
      <c r="N43" s="5" t="s">
        <v>1</v>
      </c>
      <c r="O43" s="5" t="s">
        <v>1</v>
      </c>
    </row>
    <row r="44" spans="1:15" x14ac:dyDescent="0.3">
      <c r="F44" s="6" t="s">
        <v>2</v>
      </c>
      <c r="G44" s="7" t="s">
        <v>3</v>
      </c>
      <c r="H44" s="7" t="s">
        <v>4</v>
      </c>
      <c r="I44" s="7" t="s">
        <v>5</v>
      </c>
      <c r="J44" s="7" t="s">
        <v>6</v>
      </c>
      <c r="K44" s="6" t="s">
        <v>2</v>
      </c>
      <c r="L44" s="7" t="s">
        <v>3</v>
      </c>
      <c r="M44" s="7" t="s">
        <v>4</v>
      </c>
      <c r="N44" s="7" t="s">
        <v>5</v>
      </c>
      <c r="O44" s="7" t="s">
        <v>6</v>
      </c>
    </row>
    <row r="45" spans="1:15" x14ac:dyDescent="0.3">
      <c r="C45" s="2" t="str">
        <f ca="1">IF(_xll.TM2RPTELISCONSOLIDATED(D45),IF(_xll.TM2RPTELLEV(D45)&lt;=5,_xll.TM2RPTELLEV(D45),"Default"),"Leaf")</f>
        <v>Leaf</v>
      </c>
      <c r="D45" s="4" t="s">
        <v>7</v>
      </c>
      <c r="E45" s="4" t="s">
        <v>8</v>
      </c>
      <c r="F45" s="3">
        <v>206587115.079999</v>
      </c>
      <c r="G45" s="3">
        <v>49894994.609999903</v>
      </c>
      <c r="H45" s="3">
        <v>51966012.140000001</v>
      </c>
      <c r="I45" s="3">
        <v>52675024.939999998</v>
      </c>
      <c r="J45" s="3">
        <v>52051083.390000001</v>
      </c>
      <c r="K45" s="3">
        <v>207947799.16</v>
      </c>
      <c r="L45" s="3">
        <v>50780156.759999998</v>
      </c>
      <c r="M45" s="3">
        <v>52123752.219999999</v>
      </c>
      <c r="N45" s="3">
        <v>52834738.68</v>
      </c>
      <c r="O45" s="3">
        <v>52209151.5</v>
      </c>
    </row>
    <row r="46" spans="1:15" x14ac:dyDescent="0.3">
      <c r="C46" s="2" t="str">
        <f ca="1">IF(_xll.TM2RPTELISCONSOLIDATED(D46),IF(_xll.TM2RPTELLEV(D46)&lt;=5,_xll.TM2RPTELLEV(D46),"Default"),"Leaf")</f>
        <v>Leaf</v>
      </c>
      <c r="D46" s="4" t="s">
        <v>9</v>
      </c>
      <c r="E46" s="4" t="s">
        <v>8</v>
      </c>
      <c r="F46" s="3">
        <v>65632643.625</v>
      </c>
      <c r="G46" s="3">
        <v>15855098.25</v>
      </c>
      <c r="H46" s="3">
        <v>16745295.375</v>
      </c>
      <c r="I46" s="3">
        <v>16517713.125</v>
      </c>
      <c r="J46" s="3">
        <v>16514536.875</v>
      </c>
      <c r="K46" s="3">
        <v>1756584.20999999</v>
      </c>
      <c r="L46" s="3">
        <v>424344.14999999898</v>
      </c>
      <c r="M46" s="3">
        <v>448168.15999999898</v>
      </c>
      <c r="N46" s="3">
        <v>442084.39</v>
      </c>
      <c r="O46" s="3">
        <v>441987.51</v>
      </c>
    </row>
    <row r="47" spans="1:15" x14ac:dyDescent="0.3">
      <c r="C47" s="2" t="str">
        <f ca="1">IF(_xll.TM2RPTELISCONSOLIDATED(D47),IF(_xll.TM2RPTELLEV(D47)&lt;=5,_xll.TM2RPTELLEV(D47),"Default"),"Leaf")</f>
        <v>Leaf</v>
      </c>
      <c r="D47" s="4" t="s">
        <v>10</v>
      </c>
      <c r="E47" s="4" t="s">
        <v>8</v>
      </c>
      <c r="F47" s="3">
        <v>60989299.543120503</v>
      </c>
      <c r="G47" s="3">
        <v>15324280.6942819</v>
      </c>
      <c r="H47" s="3">
        <v>15244886.1338642</v>
      </c>
      <c r="I47" s="3">
        <v>15301150.733429199</v>
      </c>
      <c r="J47" s="3">
        <v>15118981.981544901</v>
      </c>
      <c r="K47" s="3">
        <v>61195487.208856203</v>
      </c>
      <c r="L47" s="3">
        <v>15370206.436570499</v>
      </c>
      <c r="M47" s="3">
        <v>15298386.7101369</v>
      </c>
      <c r="N47" s="3">
        <v>15354847.7063674</v>
      </c>
      <c r="O47" s="3">
        <v>15172046.355781101</v>
      </c>
    </row>
    <row r="48" spans="1:15" x14ac:dyDescent="0.3">
      <c r="C48" s="2" t="str">
        <f ca="1">IF(_xll.TM2RPTELISCONSOLIDATED(D48),IF(_xll.TM2RPTELLEV(D48)&lt;=5,_xll.TM2RPTELLEV(D48),"Default"),"Leaf")</f>
        <v>Leaf</v>
      </c>
      <c r="D48" s="4" t="s">
        <v>11</v>
      </c>
      <c r="E48" s="4" t="s">
        <v>8</v>
      </c>
      <c r="F48" s="3">
        <v>79965171.911879599</v>
      </c>
      <c r="G48" s="3">
        <v>18715615.665718</v>
      </c>
      <c r="H48" s="3">
        <v>19975830.631135698</v>
      </c>
      <c r="I48" s="3">
        <v>20856161.0815707</v>
      </c>
      <c r="J48" s="3">
        <v>20417564.533454899</v>
      </c>
      <c r="K48" s="3">
        <v>144995727.741144</v>
      </c>
      <c r="L48" s="3">
        <v>34985606.1734294</v>
      </c>
      <c r="M48" s="3">
        <v>36377197.349863</v>
      </c>
      <c r="N48" s="3">
        <v>37037806.583632499</v>
      </c>
      <c r="O48" s="3">
        <v>36595117.634218797</v>
      </c>
    </row>
  </sheetData>
  <conditionalFormatting sqref="D45:E48">
    <cfRule type="expression" dxfId="17" priority="2" stopIfTrue="1">
      <formula>OR(D45=OFFSET(D45,-1,0), LEFT(D45, LEN("Header_#"))="Header_#")</formula>
    </cfRule>
    <cfRule type="expression" dxfId="16" priority="3" stopIfTrue="1">
      <formula>$C45="Leaf"</formula>
    </cfRule>
    <cfRule type="expression" dxfId="15" priority="4" stopIfTrue="1">
      <formula>$C45="Default"</formula>
    </cfRule>
    <cfRule type="expression" dxfId="14" priority="5" stopIfTrue="1">
      <formula>$C45=0</formula>
    </cfRule>
    <cfRule type="expression" dxfId="13" priority="6" stopIfTrue="1">
      <formula>$C45=1</formula>
    </cfRule>
    <cfRule type="expression" dxfId="12" priority="7" stopIfTrue="1">
      <formula>$C45=2</formula>
    </cfRule>
    <cfRule type="expression" dxfId="11" priority="8" stopIfTrue="1">
      <formula>$C45=3</formula>
    </cfRule>
    <cfRule type="expression" dxfId="10" priority="9" stopIfTrue="1">
      <formula>$C45=4</formula>
    </cfRule>
    <cfRule type="expression" dxfId="9" priority="10" stopIfTrue="1">
      <formula>$C45=5</formula>
    </cfRule>
  </conditionalFormatting>
  <conditionalFormatting sqref="F45:O48">
    <cfRule type="expression" priority="11" stopIfTrue="1">
      <formula>$C45="Leaf"</formula>
    </cfRule>
    <cfRule type="expression" priority="12" stopIfTrue="1">
      <formula>$C45="Default"</formula>
    </cfRule>
    <cfRule type="expression" priority="13" stopIfTrue="1">
      <formula>$C45=0</formula>
    </cfRule>
    <cfRule type="expression" priority="14" stopIfTrue="1">
      <formula>$C45=1</formula>
    </cfRule>
    <cfRule type="expression" priority="15" stopIfTrue="1">
      <formula>$C45=2</formula>
    </cfRule>
    <cfRule type="expression" priority="16" stopIfTrue="1">
      <formula>$C45=3</formula>
    </cfRule>
    <cfRule type="expression" priority="17" stopIfTrue="1">
      <formula>$C45=4</formula>
    </cfRule>
    <cfRule type="expression" priority="18" stopIfTrue="1">
      <formula>$C45=5</formula>
    </cfRule>
    <cfRule type="expression" priority="27" stopIfTrue="1">
      <formula>F$35="Leaf"</formula>
    </cfRule>
    <cfRule type="expression" priority="28" stopIfTrue="1">
      <formula>F$35="Default"</formula>
    </cfRule>
    <cfRule type="expression" priority="29" stopIfTrue="1">
      <formula>F$35=0</formula>
    </cfRule>
    <cfRule type="expression" priority="30" stopIfTrue="1">
      <formula>F$35=1</formula>
    </cfRule>
    <cfRule type="expression" priority="31" stopIfTrue="1">
      <formula>F$35=2</formula>
    </cfRule>
    <cfRule type="expression" priority="32" stopIfTrue="1">
      <formula>F$35=3</formula>
    </cfRule>
    <cfRule type="expression" priority="33" stopIfTrue="1">
      <formula>F$35=4</formula>
    </cfRule>
    <cfRule type="expression" priority="34" stopIfTrue="1">
      <formula>F$35=5</formula>
    </cfRule>
  </conditionalFormatting>
  <conditionalFormatting sqref="F43:O44">
    <cfRule type="expression" dxfId="8" priority="1" stopIfTrue="1">
      <formula>OR(F43=OFFSET(F43,0,-1), LEFT(F43, LEN("Header_#"))="Header_#")</formula>
    </cfRule>
    <cfRule type="expression" dxfId="7" priority="19" stopIfTrue="1">
      <formula>F$35="Leaf"</formula>
    </cfRule>
    <cfRule type="expression" dxfId="6" priority="20" stopIfTrue="1">
      <formula>F$35="Default"</formula>
    </cfRule>
    <cfRule type="expression" dxfId="5" priority="21" stopIfTrue="1">
      <formula>F$35=0</formula>
    </cfRule>
    <cfRule type="expression" dxfId="4" priority="22" stopIfTrue="1">
      <formula>F$35=1</formula>
    </cfRule>
    <cfRule type="expression" dxfId="3" priority="23" stopIfTrue="1">
      <formula>F$35=2</formula>
    </cfRule>
    <cfRule type="expression" dxfId="2" priority="24" stopIfTrue="1">
      <formula>F$35=3</formula>
    </cfRule>
    <cfRule type="expression" dxfId="1" priority="25" stopIfTrue="1">
      <formula>F$35=4</formula>
    </cfRule>
    <cfRule type="expression" dxfId="0" priority="26" stopIfTrue="1">
      <formula>F$35=5</formula>
    </cfRule>
  </conditionalFormatting>
  <dataValidations count="1">
    <dataValidation type="list" errorStyle="information" allowBlank="1" showInputMessage="1" showErrorMessage="1" sqref="E37" xr:uid="{C2592049-1190-47E9-9C68-35A0103F2CF9}">
      <formula1>$A$36:$D$36</formula1>
    </dataValidation>
  </dataValidations>
  <pageMargins left="0.7" right="0.7" top="0.75" bottom="0.75" header="0.3" footer="0.3"/>
  <headerFooter>
    <oddFooter>&amp;C_x000D_&amp;1#&amp;"arial"&amp;9&amp;K008000 C1 - Internal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EA4D-096D-4E10-B1B0-1A87DD8AB588}">
  <sheetPr codeName="Feuil9"/>
  <dimension ref="A1:B6"/>
  <sheetViews>
    <sheetView showGridLines="0" workbookViewId="0">
      <selection activeCell="B2" sqref="B2"/>
    </sheetView>
  </sheetViews>
  <sheetFormatPr baseColWidth="10" defaultRowHeight="14.4" x14ac:dyDescent="0.3"/>
  <cols>
    <col min="2" max="2" width="19.44140625" customWidth="1"/>
  </cols>
  <sheetData>
    <row r="1" spans="1:2" x14ac:dyDescent="0.3">
      <c r="A1" s="1" t="s">
        <v>23</v>
      </c>
      <c r="B1" t="str" cm="1">
        <f t="array" ref="B1">_xll.TM1PRIMARYDATASOURCE()</f>
        <v>https://oa-pa-users.planning-analytics.cloud.ibm.com/</v>
      </c>
    </row>
    <row r="2" spans="1:2" x14ac:dyDescent="0.3">
      <c r="A2" s="1" t="s">
        <v>24</v>
      </c>
      <c r="B2" t="str" cm="1">
        <f t="array" ref="B2">_xll.TM1PRIMARYDBNAME()</f>
        <v>Planning Sample</v>
      </c>
    </row>
    <row r="3" spans="1:2" x14ac:dyDescent="0.3">
      <c r="A3" s="1" t="s">
        <v>45</v>
      </c>
      <c r="B3" t="s">
        <v>46</v>
      </c>
    </row>
    <row r="4" spans="1:2" x14ac:dyDescent="0.3">
      <c r="A4" s="8" t="s">
        <v>47</v>
      </c>
      <c r="B4" t="s">
        <v>50</v>
      </c>
    </row>
    <row r="5" spans="1:2" x14ac:dyDescent="0.3">
      <c r="A5" s="8" t="s">
        <v>48</v>
      </c>
      <c r="B5" t="s">
        <v>51</v>
      </c>
    </row>
    <row r="6" spans="1:2" x14ac:dyDescent="0.3">
      <c r="A6" s="8" t="s">
        <v>49</v>
      </c>
      <c r="B6" t="s">
        <v>52</v>
      </c>
    </row>
  </sheetData>
  <pageMargins left="0.7" right="0.7" top="0.75" bottom="0.75" header="0.3" footer="0.3"/>
  <headerFooter>
    <oddFooter>&amp;C_x000D_&amp;1#&amp;"arial"&amp;9&amp;K008000 C1 - Internal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20</vt:i4>
      </vt:variant>
    </vt:vector>
  </HeadingPairs>
  <TitlesOfParts>
    <vt:vector size="22" baseType="lpstr">
      <vt:lpstr>Universal</vt:lpstr>
      <vt:lpstr>Parameters</vt:lpstr>
      <vt:lpstr>Datasource</vt:lpstr>
      <vt:lpstr>msg_confirm</vt:lpstr>
      <vt:lpstr>msg_fail</vt:lpstr>
      <vt:lpstr>msg_success</vt:lpstr>
      <vt:lpstr>Server</vt:lpstr>
      <vt:lpstr>TI_name</vt:lpstr>
      <vt:lpstr>Universal!tm2\\_0_c</vt:lpstr>
      <vt:lpstr>Universal!tm2\\_0_calcs</vt:lpstr>
      <vt:lpstr>Universal!tm2\\_0_cg</vt:lpstr>
      <vt:lpstr>Universal!tm2\\_0_cx</vt:lpstr>
      <vt:lpstr>Universal!tm2\\_0_d</vt:lpstr>
      <vt:lpstr>Universal!tm2\\_0_p</vt:lpstr>
      <vt:lpstr>Universal!tm2\\_0_q</vt:lpstr>
      <vt:lpstr>Universal!tm2\\_0_r</vt:lpstr>
      <vt:lpstr>Universal!tm2\\_0_rg</vt:lpstr>
      <vt:lpstr>Universal!tm2\\_0_rx</vt:lpstr>
      <vt:lpstr>Universal!tm2\\_0_slicers</vt:lpstr>
      <vt:lpstr>Universal!tm2\\_hc</vt:lpstr>
      <vt:lpstr>Universal!tm2\\_hr</vt:lpstr>
      <vt:lpstr>Universal!tm2\\_tracked</vt:lpstr>
    </vt:vector>
  </TitlesOfParts>
  <Company>LOREAL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CROHAS Paul</dc:creator>
  <cp:lastModifiedBy>CROHAS Paul</cp:lastModifiedBy>
  <dcterms:created xsi:type="dcterms:W3CDTF">2024-08-19T13:14:02Z</dcterms:created>
  <dcterms:modified xsi:type="dcterms:W3CDTF">2024-08-20T14:11:49Z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3b7177-c66c-4b22-a350-7ee86f9a1e74_Enabled">
    <vt:lpwstr>true</vt:lpwstr>
  </property>
  <property fmtid="{D5CDD505-2E9C-101B-9397-08002B2CF9AE}" pid="3" name="MSIP_Label_f43b7177-c66c-4b22-a350-7ee86f9a1e74_SetDate">
    <vt:lpwstr>2024-08-19T13:32:48Z</vt:lpwstr>
  </property>
  <property fmtid="{D5CDD505-2E9C-101B-9397-08002B2CF9AE}" pid="4" name="MSIP_Label_f43b7177-c66c-4b22-a350-7ee86f9a1e74_Method">
    <vt:lpwstr>Standard</vt:lpwstr>
  </property>
  <property fmtid="{D5CDD505-2E9C-101B-9397-08002B2CF9AE}" pid="5" name="MSIP_Label_f43b7177-c66c-4b22-a350-7ee86f9a1e74_Name">
    <vt:lpwstr>C1_Internal use</vt:lpwstr>
  </property>
  <property fmtid="{D5CDD505-2E9C-101B-9397-08002B2CF9AE}" pid="6" name="MSIP_Label_f43b7177-c66c-4b22-a350-7ee86f9a1e74_SiteId">
    <vt:lpwstr>e4e1abd9-eac7-4a71-ab52-da5c998aa7ba</vt:lpwstr>
  </property>
  <property fmtid="{D5CDD505-2E9C-101B-9397-08002B2CF9AE}" pid="7" name="MSIP_Label_f43b7177-c66c-4b22-a350-7ee86f9a1e74_ActionId">
    <vt:lpwstr>a19cd06c-312c-4070-8bd5-60d2376ac670</vt:lpwstr>
  </property>
  <property fmtid="{D5CDD505-2E9C-101B-9397-08002B2CF9AE}" pid="8" name="MSIP_Label_f43b7177-c66c-4b22-a350-7ee86f9a1e74_ContentBits">
    <vt:lpwstr>2</vt:lpwstr>
  </property>
</Properties>
</file>