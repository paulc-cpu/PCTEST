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.crohas\AppData\Local\Temp\"/>
    </mc:Choice>
  </mc:AlternateContent>
  <xr:revisionPtr revIDLastSave="0" documentId="8_{67D91064-CCDA-4F59-BA60-466F8070C67A}" xr6:coauthVersionLast="47" xr6:coauthVersionMax="47" xr10:uidLastSave="{00000000-0000-0000-0000-000000000000}"/>
  <bookViews>
    <workbookView xWindow="-108" yWindow="-108" windowWidth="23256" windowHeight="12456" firstSheet="1" activeTab="1" xr2:uid="{E35AE47D-675B-4B6A-9933-A6ED6C016B39}"/>
  </bookViews>
  <sheets>
    <sheet name="Cognos_Office_Connection_Cache" sheetId="2" state="veryHidden" r:id="rId1"/>
    <sheet name="Feuil1" sheetId="1" r:id="rId2"/>
  </sheets>
  <definedNames>
    <definedName name="ID" localSheetId="0" hidden="1">"5cd7aa92-58ba-433e-bcbe-6b1cbc4f57a4"</definedName>
    <definedName name="ID" localSheetId="1" hidden="1">"66293b4f-df03-4d91-bd9e-5c0e7b8eb931"</definedName>
    <definedName name="tm2\\_0_c" localSheetId="1">Feuil1!$G$48</definedName>
    <definedName name="tm2\\_0_calcs" localSheetId="1">Feuil1!$C$34:$G$34</definedName>
    <definedName name="tm2\\_0_cg" localSheetId="1">Feuil1!$H$48:$H$51</definedName>
    <definedName name="tm2\\_0_cx" localSheetId="1">Feuil1!$G$35</definedName>
    <definedName name="tm2\\_0_d" localSheetId="1">Feuil1!$G$49:$G$51</definedName>
    <definedName name="tm2\\_0_p" localSheetId="1">Feuil1!$B$1:$B$6</definedName>
    <definedName name="tm2\\_0_q" localSheetId="1">Feuil1!$B$8</definedName>
    <definedName name="tm2\\_0_r" localSheetId="1">Feuil1!$F$49:$F$51</definedName>
    <definedName name="tm2\\_0_rg" localSheetId="1">Feuil1!$F$52:$G$52</definedName>
    <definedName name="tm2\\_0_rx" localSheetId="1">Feuil1!$C$49:$C$51</definedName>
    <definedName name="tm2\\_hc" localSheetId="1">Feuil1!$A:$E</definedName>
    <definedName name="tm2\\_hr" localSheetId="1">Feuil1!$1:$36</definedName>
    <definedName name="tm2\\_tracked" localSheetId="1">Feuil1!$B$17,Feuil1!$B$28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" l="1"/>
  <c r="B15" i="1" s="1"/>
  <c r="D5" i="1" s="1"/>
  <c r="B25" i="1"/>
  <c r="B27" i="1" s="1"/>
  <c r="E6" i="1" s="1"/>
  <c r="B34" i="1"/>
  <c r="A35" i="1"/>
  <c r="B35" i="1"/>
  <c r="B2" i="1" a="1"/>
  <c r="B1" i="1" a="1"/>
  <c r="C50" i="1"/>
  <c r="C49" i="1"/>
  <c r="G35" i="1"/>
  <c r="C51" i="1"/>
  <c r="B2" i="1" l="1"/>
  <c r="B1" i="1"/>
  <c r="B26" i="1"/>
  <c r="E5" i="1" s="1"/>
  <c r="C5" i="1" s="1"/>
  <c r="B5" i="1" s="1"/>
  <c r="B16" i="1"/>
  <c r="D6" i="1" s="1"/>
  <c r="C6" i="1" s="1"/>
  <c r="B6" i="1" s="1"/>
  <c r="B17" i="1"/>
  <c r="B28" i="1"/>
  <c r="B29" i="1" l="1"/>
  <c r="A30" i="1" s="1"/>
  <c r="C30" i="1" s="1"/>
  <c r="B18" i="1"/>
  <c r="A19" i="1" s="1"/>
  <c r="C19" i="1" s="1"/>
  <c r="B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<sst xmlns="http://schemas.openxmlformats.org/spreadsheetml/2006/main" count="43" uniqueCount="35">
  <si>
    <t>Aucune suppression</t>
  </si>
  <si>
    <t>Zero Suppression:</t>
  </si>
  <si>
    <t>Datasource</t>
  </si>
  <si>
    <t>Server</t>
  </si>
  <si>
    <t>Display Toggle</t>
  </si>
  <si>
    <t>Indents Per Level</t>
  </si>
  <si>
    <t>Active Display</t>
  </si>
  <si>
    <t>Expand Aboves</t>
  </si>
  <si>
    <t>Query</t>
  </si>
  <si>
    <t>RowAxisSets</t>
  </si>
  <si>
    <t>plan_controls</t>
  </si>
  <si>
    <t>Variable</t>
  </si>
  <si>
    <t>MEMBER_UNIQUE_NAME, MEMBER_NAME, MEMBER_CAPTION, LEVEL_NUMBER, CHILDREN_CARDINALITY</t>
  </si>
  <si>
    <t>ColumnAxisSets</t>
  </si>
  <si>
    <t>TM1SubsetToSet([plan_measure_setting].[plan_measure_setting], "Default")</t>
  </si>
  <si>
    <t>plan_measure_setting</t>
  </si>
  <si>
    <t>Setting</t>
  </si>
  <si>
    <t>Slicers</t>
  </si>
  <si>
    <t>Calcs</t>
  </si>
  <si>
    <t/>
  </si>
  <si>
    <t>Supprimer les lignes uniquement</t>
  </si>
  <si>
    <t>Supprimer les colonnes uniquement</t>
  </si>
  <si>
    <t>Supprimer les lignes et les colonnes</t>
  </si>
  <si>
    <t>Data Source</t>
  </si>
  <si>
    <t>Corporate Currency</t>
  </si>
  <si>
    <t>P1</t>
  </si>
  <si>
    <t>P2</t>
  </si>
  <si>
    <t>TI name</t>
  </si>
  <si>
    <t>ZZ_TEST_TI_BUTTON</t>
  </si>
  <si>
    <t>P3</t>
  </si>
  <si>
    <t>CCC</t>
  </si>
  <si>
    <t>{TM1SubsetToSet([plan_controls].[plan_controls], "Default", "public")}</t>
  </si>
  <si>
    <t>A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</si>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</sst>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.5"/>
      <color rgb="FF165D81"/>
      <name val="Calibri"/>
      <family val="2"/>
    </font>
    <font>
      <b/>
      <sz val="10.5"/>
      <color theme="1" tint="0.24994659260841701"/>
      <name val="Calibri"/>
      <family val="2"/>
    </font>
    <font>
      <b/>
      <sz val="10.5"/>
      <color theme="1" tint="0.34998626667073579"/>
      <name val="Calibri"/>
      <family val="2"/>
    </font>
    <font>
      <b/>
      <sz val="10.5"/>
      <color theme="4"/>
      <name val="Calibri"/>
      <family val="2"/>
    </font>
    <font>
      <b/>
      <sz val="10.5"/>
      <color theme="7"/>
      <name val="Calibri"/>
      <family val="2"/>
    </font>
    <font>
      <b/>
      <sz val="10.5"/>
      <color theme="5" tint="0.39994506668294322"/>
      <name val="Calibri"/>
      <family val="2"/>
    </font>
    <font>
      <b/>
      <sz val="10.5"/>
      <color rgb="FF336577"/>
      <name val="Calibri"/>
      <family val="2"/>
    </font>
    <font>
      <b/>
      <sz val="10.5"/>
      <color theme="6" tint="-0.24994659260841701"/>
      <name val="Calibri"/>
      <family val="2"/>
    </font>
    <font>
      <b/>
      <sz val="10.5"/>
      <color theme="3" tint="0.39994506668294322"/>
      <name val="Calibri"/>
      <family val="2"/>
    </font>
    <font>
      <sz val="10.5"/>
      <color theme="1"/>
      <name val="Calibri"/>
      <family val="2"/>
      <scheme val="minor"/>
    </font>
    <font>
      <b/>
      <sz val="10.5"/>
      <color rgb="FFFFFF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BED7A5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74">
    <xf numFmtId="0" fontId="0" fillId="0" borderId="0"/>
    <xf numFmtId="0" fontId="2" fillId="0" borderId="1" applyNumberFormat="0" applyFill="0" applyProtection="0">
      <alignment horizontal="center" vertical="center"/>
    </xf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2" fillId="0" borderId="1" applyNumberFormat="0" applyFill="0" applyAlignment="0" applyProtection="0"/>
    <xf numFmtId="0" fontId="2" fillId="0" borderId="1" applyNumberFormat="0" applyFill="0" applyAlignment="0" applyProtection="0"/>
    <xf numFmtId="3" fontId="2" fillId="0" borderId="1" applyNumberFormat="0" applyFill="0" applyAlignment="0" applyProtection="0"/>
    <xf numFmtId="0" fontId="2" fillId="0" borderId="1" applyNumberFormat="0" applyFill="0" applyAlignment="0" applyProtection="0"/>
    <xf numFmtId="0" fontId="2" fillId="0" borderId="1" applyNumberFormat="0" applyFill="0" applyAlignment="0" applyProtection="0"/>
    <xf numFmtId="0" fontId="2" fillId="0" borderId="1" applyNumberFormat="0" applyFill="0" applyAlignment="0" applyProtection="0"/>
    <xf numFmtId="0" fontId="2" fillId="0" borderId="1" applyNumberFormat="0" applyFill="0" applyAlignment="0" applyProtection="0"/>
    <xf numFmtId="0" fontId="2" fillId="0" borderId="1" applyNumberFormat="0" applyFill="0" applyAlignment="0" applyProtection="0"/>
    <xf numFmtId="3" fontId="3" fillId="0" borderId="0" applyNumberFormat="0" applyBorder="0" applyAlignment="0" applyProtection="0"/>
    <xf numFmtId="3" fontId="3" fillId="0" borderId="0" applyNumberFormat="0" applyBorder="0" applyAlignment="0" applyProtection="0"/>
    <xf numFmtId="3" fontId="3" fillId="0" borderId="0" applyNumberFormat="0" applyBorder="0" applyAlignment="0" applyProtection="0"/>
    <xf numFmtId="3" fontId="3" fillId="0" borderId="0" applyNumberFormat="0" applyBorder="0" applyAlignment="0" applyProtection="0"/>
    <xf numFmtId="3" fontId="3" fillId="0" borderId="0" applyNumberFormat="0" applyBorder="0" applyAlignment="0" applyProtection="0"/>
    <xf numFmtId="3" fontId="3" fillId="0" borderId="2" applyNumberFormat="0" applyBorder="0" applyAlignment="0" applyProtection="0"/>
    <xf numFmtId="3" fontId="3" fillId="0" borderId="2" applyNumberFormat="0" applyBorder="0" applyAlignment="0" applyProtection="0"/>
    <xf numFmtId="3" fontId="3" fillId="0" borderId="2" applyNumberFormat="0" applyBorder="0" applyAlignment="0" applyProtection="0"/>
    <xf numFmtId="0" fontId="3" fillId="0" borderId="2" applyNumberFormat="0" applyFill="0" applyAlignment="0" applyProtection="0"/>
    <xf numFmtId="0" fontId="3" fillId="0" borderId="2" applyNumberFormat="0" applyFill="0" applyAlignment="0" applyProtection="0"/>
    <xf numFmtId="0" fontId="3" fillId="0" borderId="2">
      <alignment horizontal="right" vertical="center"/>
    </xf>
    <xf numFmtId="3" fontId="3" fillId="2" borderId="2">
      <alignment horizontal="center" vertical="center"/>
    </xf>
    <xf numFmtId="0" fontId="3" fillId="2" borderId="2">
      <alignment horizontal="right" vertical="center"/>
    </xf>
    <xf numFmtId="0" fontId="2" fillId="0" borderId="3">
      <alignment horizontal="left" vertical="center"/>
    </xf>
    <xf numFmtId="0" fontId="2" fillId="0" borderId="4">
      <alignment horizontal="center" vertical="center"/>
    </xf>
    <xf numFmtId="0" fontId="4" fillId="0" borderId="5">
      <alignment horizontal="center" vertical="center"/>
    </xf>
    <xf numFmtId="0" fontId="3" fillId="3" borderId="2"/>
    <xf numFmtId="3" fontId="2" fillId="0" borderId="1" applyFill="0" applyAlignment="0" applyProtection="0"/>
    <xf numFmtId="3" fontId="2" fillId="0" borderId="1" applyFill="0" applyAlignment="0" applyProtection="0"/>
    <xf numFmtId="3" fontId="2" fillId="0" borderId="1" applyFill="0" applyAlignment="0" applyProtection="0"/>
    <xf numFmtId="3" fontId="2" fillId="0" borderId="1" applyFill="0" applyAlignment="0" applyProtection="0"/>
    <xf numFmtId="0" fontId="2" fillId="0" borderId="1" applyFill="0" applyAlignment="0" applyProtection="0"/>
    <xf numFmtId="3" fontId="2" fillId="0" borderId="1" applyFill="0" applyAlignment="0" applyProtection="0"/>
    <xf numFmtId="0" fontId="2" fillId="0" borderId="4">
      <alignment horizontal="center" vertical="center"/>
    </xf>
    <xf numFmtId="0" fontId="12" fillId="0" borderId="4">
      <alignment horizontal="center" vertical="center"/>
    </xf>
    <xf numFmtId="3" fontId="3" fillId="0" borderId="2" applyFont="0" applyFill="0" applyAlignment="0" applyProtection="0"/>
    <xf numFmtId="0" fontId="3" fillId="0" borderId="2" applyFill="0" applyAlignment="0" applyProtection="0"/>
    <xf numFmtId="0" fontId="2" fillId="0" borderId="1" applyFill="0" applyAlignment="0" applyProtection="0"/>
    <xf numFmtId="3" fontId="2" fillId="0" borderId="1" applyFill="0" applyAlignment="0" applyProtection="0"/>
    <xf numFmtId="0" fontId="2" fillId="0" borderId="1" applyFill="0" applyAlignment="0" applyProtection="0"/>
    <xf numFmtId="0" fontId="2" fillId="0" borderId="1" applyFill="0" applyAlignment="0" applyProtection="0"/>
    <xf numFmtId="0" fontId="2" fillId="0" borderId="1" applyFill="0" applyAlignment="0" applyProtection="0"/>
    <xf numFmtId="0" fontId="2" fillId="0" borderId="1" applyFill="0" applyAlignment="0" applyProtection="0"/>
    <xf numFmtId="0" fontId="2" fillId="0" borderId="3">
      <alignment horizontal="left" vertical="center"/>
    </xf>
    <xf numFmtId="3" fontId="12" fillId="0" borderId="1" applyFill="0" applyAlignment="0" applyProtection="0"/>
    <xf numFmtId="3" fontId="5" fillId="0" borderId="2"/>
    <xf numFmtId="3" fontId="6" fillId="0" borderId="2"/>
    <xf numFmtId="0" fontId="2" fillId="0" borderId="4">
      <alignment horizontal="left" vertical="top"/>
    </xf>
    <xf numFmtId="0" fontId="7" fillId="0" borderId="2"/>
    <xf numFmtId="0" fontId="2" fillId="0" borderId="4">
      <alignment horizontal="left" vertical="center"/>
    </xf>
    <xf numFmtId="0" fontId="3" fillId="2" borderId="6"/>
    <xf numFmtId="3" fontId="3" fillId="0" borderId="2">
      <alignment horizontal="right" vertical="center"/>
    </xf>
    <xf numFmtId="0" fontId="2" fillId="0" borderId="4">
      <alignment horizontal="right" vertical="center"/>
    </xf>
    <xf numFmtId="0" fontId="3" fillId="0" borderId="5">
      <alignment horizontal="center" vertical="center"/>
    </xf>
    <xf numFmtId="3" fontId="3" fillId="0" borderId="2"/>
    <xf numFmtId="3" fontId="3" fillId="0" borderId="2"/>
    <xf numFmtId="0" fontId="3" fillId="0" borderId="5">
      <alignment horizontal="center" vertical="center" wrapText="1"/>
    </xf>
    <xf numFmtId="0" fontId="8" fillId="0" borderId="5">
      <alignment horizontal="left" vertical="center" indent="1"/>
    </xf>
    <xf numFmtId="0" fontId="9" fillId="0" borderId="2"/>
    <xf numFmtId="0" fontId="2" fillId="0" borderId="3">
      <alignment horizontal="left" vertical="center"/>
    </xf>
    <xf numFmtId="3" fontId="3" fillId="0" borderId="2">
      <alignment horizontal="center" vertical="center"/>
    </xf>
    <xf numFmtId="0" fontId="2" fillId="0" borderId="4">
      <alignment horizontal="center" vertical="center"/>
    </xf>
    <xf numFmtId="0" fontId="2" fillId="0" borderId="4">
      <alignment horizontal="center" vertical="center"/>
    </xf>
    <xf numFmtId="0" fontId="2" fillId="0" borderId="3">
      <alignment horizontal="left" vertical="center"/>
    </xf>
    <xf numFmtId="0" fontId="2" fillId="0" borderId="3">
      <alignment horizontal="left" vertical="center"/>
    </xf>
    <xf numFmtId="0" fontId="10" fillId="0" borderId="2"/>
  </cellStyleXfs>
  <cellXfs count="8">
    <xf numFmtId="0" fontId="0" fillId="0" borderId="0" xfId="0"/>
    <xf numFmtId="0" fontId="3" fillId="0" borderId="2" xfId="44"/>
    <xf numFmtId="0" fontId="3" fillId="0" borderId="2" xfId="28">
      <alignment horizontal="right" vertical="center"/>
    </xf>
    <xf numFmtId="0" fontId="11" fillId="0" borderId="0" xfId="0" applyFont="1"/>
    <xf numFmtId="0" fontId="3" fillId="0" borderId="2" xfId="44" quotePrefix="1"/>
    <xf numFmtId="3" fontId="1" fillId="0" borderId="2" xfId="43" applyFont="1"/>
    <xf numFmtId="49" fontId="11" fillId="0" borderId="0" xfId="0" quotePrefix="1" applyNumberFormat="1" applyFont="1" applyAlignment="1"/>
    <xf numFmtId="0" fontId="3" fillId="0" borderId="2" xfId="44" applyNumberFormat="1"/>
  </cellXfs>
  <cellStyles count="74">
    <cellStyle name="AF Column - IBM Cognos" xfId="1" xr:uid="{E548D4BE-5AD3-4CCA-AB1C-B5C60053D9F6}"/>
    <cellStyle name="AF Data - IBM Cognos" xfId="2" xr:uid="{8A515A0D-D991-4B15-9B76-49FCA8CE487E}"/>
    <cellStyle name="AF Data 0 - IBM Cognos" xfId="3" xr:uid="{D49E0052-233E-4E3F-8C1E-3A71D3760A9D}"/>
    <cellStyle name="AF Data 1 - IBM Cognos" xfId="4" xr:uid="{B6D93D0E-E8B4-416B-8253-240E6DEF850A}"/>
    <cellStyle name="AF Data 2 - IBM Cognos" xfId="5" xr:uid="{7622E75C-195F-4CFD-BCAF-B18EED74AFCB}"/>
    <cellStyle name="AF Data 3 - IBM Cognos" xfId="6" xr:uid="{53F14BDD-E9DF-4AAA-AD7F-073D0C1BEB9F}"/>
    <cellStyle name="AF Data 4 - IBM Cognos" xfId="7" xr:uid="{AB07BE61-1FC5-47BB-A5FB-CCB90CF15105}"/>
    <cellStyle name="AF Data 5 - IBM Cognos" xfId="8" xr:uid="{6F5B02CB-AE93-4A22-9CCD-4B0E789FA630}"/>
    <cellStyle name="AF Data Leaf - IBM Cognos" xfId="9" xr:uid="{0ECC6ED8-E960-45BE-98C0-03624DCB35B4}"/>
    <cellStyle name="AF Header - IBM Cognos" xfId="10" xr:uid="{DD742403-62E2-424C-8CAF-BBD2E726048B}"/>
    <cellStyle name="AF Header 0 - IBM Cognos" xfId="11" xr:uid="{599CE65A-C8E6-4B58-BEC3-CAA745DB68B6}"/>
    <cellStyle name="AF Header 1 - IBM Cognos" xfId="12" xr:uid="{3E957486-6BA9-491C-B8D0-8B3839C279C0}"/>
    <cellStyle name="AF Header 2 - IBM Cognos" xfId="13" xr:uid="{11D128E6-D407-47CB-9AB3-DF214AA23483}"/>
    <cellStyle name="AF Header 3 - IBM Cognos" xfId="14" xr:uid="{8AAB6625-F00B-40E2-A1A2-660B41DB8739}"/>
    <cellStyle name="AF Header 4 - IBM Cognos" xfId="15" xr:uid="{291F1CE5-D9BD-4C2F-AA2E-A68FF446DCC1}"/>
    <cellStyle name="AF Header 5 - IBM Cognos" xfId="16" xr:uid="{BA08694B-7106-47BB-92CC-6589A0EB854C}"/>
    <cellStyle name="AF Header Leaf - IBM Cognos" xfId="17" xr:uid="{F92BC963-0F65-49A5-B12E-09C1E857A3C8}"/>
    <cellStyle name="AF Row - IBM Cognos" xfId="18" xr:uid="{9A741FED-B3B8-488D-8F53-A47010AD7890}"/>
    <cellStyle name="AF Row 0 - IBM Cognos" xfId="19" xr:uid="{0135A330-8D7F-442E-A6A3-4732165F7754}"/>
    <cellStyle name="AF Row 1 - IBM Cognos" xfId="20" xr:uid="{E38EF328-99FC-4B9C-9432-1DB7445B4259}"/>
    <cellStyle name="AF Row 2 - IBM Cognos" xfId="21" xr:uid="{BBBF4617-304F-46E7-80F6-AA0C60C32C0E}"/>
    <cellStyle name="AF Row 3 - IBM Cognos" xfId="22" xr:uid="{1E2CBCDF-626C-48DD-A125-8A4E1DF03C55}"/>
    <cellStyle name="AF Row 4 - IBM Cognos" xfId="23" xr:uid="{E8D2B77D-72FA-4A25-B6B4-93D4A694D2D8}"/>
    <cellStyle name="AF Row 5 - IBM Cognos" xfId="24" xr:uid="{BDEFB0B1-E764-40DE-A81E-35B7B7245066}"/>
    <cellStyle name="AF Row Leaf - IBM Cognos" xfId="25" xr:uid="{C73D8DD7-E0DB-4CC1-A5D7-E6A894F85B9F}"/>
    <cellStyle name="AF Subnm - IBM Cognos" xfId="26" xr:uid="{D6D27907-6773-48AA-9E17-E9943F33598F}"/>
    <cellStyle name="AF Title - IBM Cognos" xfId="27" xr:uid="{15E64348-10A4-47A3-9EA4-371D80F09925}"/>
    <cellStyle name="Calculated Column - IBM Cognos" xfId="28" xr:uid="{BE190799-F63B-4895-9E89-8DC9B21A1F72}"/>
    <cellStyle name="Calculated Column Name - IBM Cognos" xfId="29" xr:uid="{D38253B5-347A-42F6-BC09-6C5AB97C5755}"/>
    <cellStyle name="Calculated Row - IBM Cognos" xfId="30" xr:uid="{8A9D3EE4-E877-45BB-AAD1-BBA19BC923CC}"/>
    <cellStyle name="Calculated Row Name - IBM Cognos" xfId="31" xr:uid="{70969E0C-486A-468D-BD73-9DA39145AED5}"/>
    <cellStyle name="Column Name - IBM Cognos" xfId="32" xr:uid="{3B09FA02-16B5-464F-89A0-D21E48458110}"/>
    <cellStyle name="Column Template - IBM Cognos" xfId="33" xr:uid="{36F55892-AAB6-4A54-B8B2-56FA748135B2}"/>
    <cellStyle name="Differs From Base - IBM Cognos" xfId="34" xr:uid="{E3446991-47BE-4B34-9645-CD03463E7F4B}"/>
    <cellStyle name="DQR Column 0 - IBM Cognos" xfId="35" xr:uid="{03B5310D-462C-49C7-838E-F1FF51541585}"/>
    <cellStyle name="DQR Column 1 - IBM Cognos" xfId="36" xr:uid="{5954DB48-63C5-4939-B772-8FB104BD5043}"/>
    <cellStyle name="DQR Column 2 - IBM Cognos" xfId="37" xr:uid="{8219213F-DC4A-47B4-A042-6B294FEB8D31}"/>
    <cellStyle name="DQR Column 3 - IBM Cognos" xfId="38" xr:uid="{1AAFB665-2C50-421E-A05E-AC7F1455BEBA}"/>
    <cellStyle name="DQR Column 4 - IBM Cognos" xfId="39" xr:uid="{1368DE79-09CD-4DA7-9FF6-3D100B2AF179}"/>
    <cellStyle name="DQR Column 5 - IBM Cognos" xfId="40" xr:uid="{B94A4D01-C293-4BEF-9DFA-B187C4F8D7E0}"/>
    <cellStyle name="DQR Column Default - IBM Cognos" xfId="41" xr:uid="{CE916DE5-7F14-4410-A397-06C08A5A1601}"/>
    <cellStyle name="DQR Column Leaf - IBM Cognos" xfId="42" xr:uid="{3A53330F-DFDA-4A53-AD42-42D953EAABB5}"/>
    <cellStyle name="DQR Data Default - IBM Cognos" xfId="43" xr:uid="{E889DEFC-1943-4C52-A2CA-8647AD8E3C8D}"/>
    <cellStyle name="DQR Default - IBM Cognos" xfId="44" xr:uid="{8B39E77C-437B-4BE7-A561-22D2755F7893}"/>
    <cellStyle name="DQR Row 0 - IBM Cognos" xfId="45" xr:uid="{5CD6F4A6-0ED3-4801-BECA-4604F477414C}"/>
    <cellStyle name="DQR Row 1 - IBM Cognos" xfId="46" xr:uid="{A4306BA1-CD05-45C1-AD22-D4E9226DF981}"/>
    <cellStyle name="DQR Row 2 - IBM Cognos" xfId="47" xr:uid="{9758DD98-148F-4D0A-BFF9-C5BD09127F4B}"/>
    <cellStyle name="DQR Row 3 - IBM Cognos" xfId="48" xr:uid="{70CCF3B3-8270-4964-AAD8-F263E7A6C96E}"/>
    <cellStyle name="DQR Row 4 - IBM Cognos" xfId="49" xr:uid="{092D70FE-C10D-469E-B943-A399071C7292}"/>
    <cellStyle name="DQR Row 5 - IBM Cognos" xfId="50" xr:uid="{728A70A9-8C72-4C00-A6E3-D266F90CF51B}"/>
    <cellStyle name="DQR Row Default - IBM Cognos" xfId="51" xr:uid="{A1B4A9F9-60BD-4099-9F67-3552962F6635}"/>
    <cellStyle name="DQR Row Leaf - IBM Cognos" xfId="52" xr:uid="{C6D3C9A1-CBA0-46C8-A6B8-2983BF47A2D3}"/>
    <cellStyle name="Edit - IBM Cognos" xfId="53" xr:uid="{60961C8F-3F94-4253-A167-E0EE89A1BA86}"/>
    <cellStyle name="Formula - IBM Cognos" xfId="54" xr:uid="{E4AFCACA-0C74-4557-BFD4-3796806506BE}"/>
    <cellStyle name="Group Name - IBM Cognos" xfId="55" xr:uid="{26872D9F-5066-413E-8585-EFAF9A38908B}"/>
    <cellStyle name="Hold Values - IBM Cognos" xfId="56" xr:uid="{B790E269-23C7-4658-99DF-22349E417943}"/>
    <cellStyle name="List Name - IBM Cognos" xfId="57" xr:uid="{F1F7791E-4ECA-46A8-9302-3B782DECD473}"/>
    <cellStyle name="Locked - IBM Cognos" xfId="58" xr:uid="{AB1B6578-BE61-44D3-921F-317BFA52918B}"/>
    <cellStyle name="Measure - IBM Cognos" xfId="59" xr:uid="{F83842EC-8FE1-43EA-BC07-2C96E282F610}"/>
    <cellStyle name="Measure Header - IBM Cognos" xfId="60" xr:uid="{73C4E935-FDEB-4BB2-B6C8-D72D83EAA71D}"/>
    <cellStyle name="Measure Name - IBM Cognos" xfId="61" xr:uid="{6A25022E-BE9A-4277-94FA-BA0FFBA4947F}"/>
    <cellStyle name="Measure Summary - IBM Cognos" xfId="62" xr:uid="{22284B76-7A6D-4166-9516-AA0775CD3AEC}"/>
    <cellStyle name="Measure Summary TM1 - IBM Cognos" xfId="63" xr:uid="{090C1676-E79B-4A17-B1A6-06C444897393}"/>
    <cellStyle name="Measure Template - IBM Cognos" xfId="64" xr:uid="{C5F37649-0776-47DB-9E81-98D91DA37C3B}"/>
    <cellStyle name="More - IBM Cognos" xfId="65" xr:uid="{8D438994-00CA-4380-8AC3-CA63DAA1DB24}"/>
    <cellStyle name="Normal" xfId="0" builtinId="0" customBuiltin="1"/>
    <cellStyle name="Pending Change - IBM Cognos" xfId="66" xr:uid="{29BF3796-0630-4935-B78F-7B561ACB5345}"/>
    <cellStyle name="Row Name - IBM Cognos" xfId="67" xr:uid="{A6AF7BF9-8561-407D-B9CC-F317CB5D29A1}"/>
    <cellStyle name="Row Template - IBM Cognos" xfId="68" xr:uid="{A7272628-586B-43CC-8774-AFB1B25EB0E8}"/>
    <cellStyle name="Summary Column Name - IBM Cognos" xfId="69" xr:uid="{33647941-AB80-47F7-B6D3-F72E7EFE59CB}"/>
    <cellStyle name="Summary Column Name TM1 - IBM Cognos" xfId="70" xr:uid="{133442BC-F5CE-4D62-BDA9-62D8DA3DC016}"/>
    <cellStyle name="Summary Row Name - IBM Cognos" xfId="71" xr:uid="{565A57F8-6C03-4BBF-92DF-B2FD4071DE55}"/>
    <cellStyle name="Summary Row Name TM1 - IBM Cognos" xfId="72" xr:uid="{004ED951-F221-430E-9787-42BD42B2FDF8}"/>
    <cellStyle name="Unsaved Change - IBM Cognos" xfId="73" xr:uid="{AB5B04C8-88E6-4675-BA04-DDAC855798E0}"/>
  </cellStyles>
  <dxfs count="32"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39</xdr:row>
      <xdr:rowOff>0</xdr:rowOff>
    </xdr:from>
    <xdr:to>
      <xdr:col>9</xdr:col>
      <xdr:colOff>289560</xdr:colOff>
      <xdr:row>44</xdr:row>
      <xdr:rowOff>106680</xdr:rowOff>
    </xdr:to>
    <xdr:sp macro="Feuil2.ExecuteAction_eddd46db_5b4f_452b_8a78_385db27a715b" textlink="">
      <xdr:nvSpPr>
        <xdr:cNvPr id="4" name="TM1Button_eddd46db_5b4f_452b_8a78_385db27a715b">
          <a:extLst>
            <a:ext uri="{FF2B5EF4-FFF2-40B4-BE49-F238E27FC236}">
              <a16:creationId xmlns:a16="http://schemas.microsoft.com/office/drawing/2014/main" id="{3993E5A4-DBBD-5FC0-AE38-32A981DD446F}"/>
            </a:ext>
          </a:extLst>
        </xdr:cNvPr>
        <xdr:cNvSpPr txBox="1"/>
      </xdr:nvSpPr>
      <xdr:spPr>
        <a:xfrm>
          <a:off x="3230880" y="731520"/>
          <a:ext cx="1082040" cy="1021080"/>
        </a:xfrm>
        <a:prstGeom prst="rect">
          <a:avLst/>
        </a:prstGeom>
        <a:solidFill>
          <a:srgbClr val="F0F0F0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fr-FR" sz="1000" b="0" i="0" u="none" strike="noStrike">
              <a:solidFill>
                <a:srgbClr val="000000"/>
              </a:solidFill>
              <a:latin typeface="Arial" panose="020B0604020202020204" pitchFamily="34" charset="0"/>
            </a:rPr>
            <a:t>Exécuter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098B8-FACE-4B01-9086-EBE48211AAFE}">
  <sheetPr codeName="Feuil1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  <headerFooter>
    <oddFooter>&amp;C_x000D_&amp;1#&amp;"arial"&amp;9&amp;K008000 C1 - Internal use</oddFooter>
  </headerFooter>
  <customProperties>
    <customPr name="CafeStyleVersion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C26DB-E0B4-4F87-AD0C-1FDD884AE785}">
  <sheetPr codeName="Feuil2"/>
  <dimension ref="A1:I51"/>
  <sheetViews>
    <sheetView tabSelected="1" topLeftCell="F36" workbookViewId="0"/>
  </sheetViews>
  <sheetFormatPr baseColWidth="10" defaultRowHeight="14.4" outlineLevelRow="1" outlineLevelCol="1" x14ac:dyDescent="0.3"/>
  <cols>
    <col min="1" max="5" width="11.5546875" hidden="1" customWidth="1" outlineLevel="1"/>
    <col min="6" max="6" width="17.5546875" customWidth="1" collapsed="1"/>
    <col min="7" max="7" width="18" customWidth="1"/>
  </cols>
  <sheetData>
    <row r="1" spans="1:5" hidden="1" outlineLevel="1" x14ac:dyDescent="0.3">
      <c r="A1" s="1" t="s">
        <v>2</v>
      </c>
      <c r="B1" s="1" t="str" cm="1">
        <f t="array" ref="B1">_xll.TM1PRIMARYDATASOURCE()</f>
        <v>https://oa-pa-users.planning-analytics.cloud.ibm.com/</v>
      </c>
      <c r="C1" s="1"/>
    </row>
    <row r="2" spans="1:5" hidden="1" outlineLevel="1" x14ac:dyDescent="0.3">
      <c r="A2" s="1" t="s">
        <v>3</v>
      </c>
      <c r="B2" s="1" t="str" cm="1">
        <f t="array" ref="B2">_xll.TM1PRIMARYDBNAME()</f>
        <v>Planning Sample</v>
      </c>
      <c r="C2" s="1"/>
    </row>
    <row r="3" spans="1:5" hidden="1" outlineLevel="1" x14ac:dyDescent="0.3">
      <c r="A3" s="1" t="s">
        <v>4</v>
      </c>
      <c r="B3" s="1" t="b">
        <v>1</v>
      </c>
      <c r="C3" s="1"/>
    </row>
    <row r="4" spans="1:5" hidden="1" outlineLevel="1" x14ac:dyDescent="0.3">
      <c r="A4" s="1" t="s">
        <v>5</v>
      </c>
      <c r="B4" s="1">
        <v>1</v>
      </c>
      <c r="C4" s="1"/>
    </row>
    <row r="5" spans="1:5" hidden="1" outlineLevel="1" x14ac:dyDescent="0.3">
      <c r="A5" s="1" t="s">
        <v>6</v>
      </c>
      <c r="B5" s="1" t="str">
        <f>"{" &amp; $C$5 &amp; "" &amp; "}"</f>
        <v>{"[plan_controls].[plan_controls]" : "Variable","[plan_measure_setting].[plan_measure_setting]" : "Setting"}</v>
      </c>
      <c r="C5" s="1" t="str">
        <f>_xll.ConcatStrings(",",$D$5:$E$5)</f>
        <v>"[plan_controls].[plan_controls]" : "Variable","[plan_measure_setting].[plan_measure_setting]" : "Setting"</v>
      </c>
      <c r="D5" s="1" t="str">
        <f>_xll.ConcatStrings(",",$B$15:$B$15)</f>
        <v>"[plan_controls].[plan_controls]" : "Variable"</v>
      </c>
      <c r="E5" s="1" t="str">
        <f>_xll.ConcatStrings(",",$B$26:$B$26)</f>
        <v>"[plan_measure_setting].[plan_measure_setting]" : "Setting"</v>
      </c>
    </row>
    <row r="6" spans="1:5" hidden="1" outlineLevel="1" x14ac:dyDescent="0.3">
      <c r="A6" s="1" t="s">
        <v>7</v>
      </c>
      <c r="B6" s="1" t="str">
        <f>"{" &amp; $C$6 &amp; "" &amp; "}"</f>
        <v>{"[plan_controls].[plan_controls]" : "false","[plan_measure_setting].[plan_measure_setting]" : "false"}</v>
      </c>
      <c r="C6" s="1" t="str">
        <f>_xll.ConcatStrings(",",$D$6:$E$6)</f>
        <v>"[plan_controls].[plan_controls]" : "false","[plan_measure_setting].[plan_measure_setting]" : "false"</v>
      </c>
      <c r="D6" s="1" t="str">
        <f>_xll.ConcatStrings(",",$B$16:$B$16)</f>
        <v>"[plan_controls].[plan_controls]" : "false"</v>
      </c>
      <c r="E6" s="1" t="str">
        <f>_xll.ConcatStrings(",",$B$27:$B$27)</f>
        <v>"[plan_measure_setting].[plan_measure_setting]" : "false"</v>
      </c>
    </row>
    <row r="7" spans="1:5" hidden="1" outlineLevel="1" x14ac:dyDescent="0.3"/>
    <row r="8" spans="1:5" hidden="1" outlineLevel="1" x14ac:dyDescent="0.3">
      <c r="A8" s="1" t="s">
        <v>8</v>
      </c>
      <c r="B8" s="1" t="str">
        <f>_xll.MakeQuery($B$34,$C$30,$C$19,"plan_Control",$B$32,"")</f>
        <v xml:space="preserve"> SELECT  TM1IGNORE_BADTUPLES {  {  { TM1SubsetToSet([plan_measure_setting].[plan_measure_setting],'yw5ci3kDAIAIAAAQ') }  }  }  DIMENSION PROPERTIES MEMBER_UNIQUE_NAME, MEMBER_NAME, MEMBER_CAPTION, LEVEL_NUMBER, CHILDREN_CARDINALITY ON 0, TM1IGNORE_BADTUPLES {  {  { TM1SubsetToSet([plan_controls].[plan_controls],'yw5ci3kDAIAYAAAQ') }  }  }  DIMENSION PROPERTIES MEMBER_UNIQUE_NAME, MEMBER_NAME, MEMBER_CAPTION, LEVEL_NUMBER, CHILDREN_CARDINALITY ON 1 FROM [plan_Control]</v>
      </c>
      <c r="C8" s="1"/>
    </row>
    <row r="9" spans="1:5" hidden="1" outlineLevel="1" x14ac:dyDescent="0.3"/>
    <row r="10" spans="1:5" hidden="1" outlineLevel="1" x14ac:dyDescent="0.3">
      <c r="A10" s="1" t="s">
        <v>9</v>
      </c>
      <c r="B10" s="1" t="s">
        <v>31</v>
      </c>
      <c r="C10" s="1"/>
    </row>
    <row r="11" spans="1:5" hidden="1" outlineLevel="1" x14ac:dyDescent="0.3">
      <c r="A11" s="1"/>
      <c r="B11" s="1" t="s">
        <v>10</v>
      </c>
      <c r="C11" s="1"/>
    </row>
    <row r="12" spans="1:5" hidden="1" outlineLevel="1" x14ac:dyDescent="0.3">
      <c r="A12" s="1"/>
      <c r="B12" s="1" t="s">
        <v>10</v>
      </c>
      <c r="C12" s="1"/>
    </row>
    <row r="13" spans="1:5" hidden="1" outlineLevel="1" x14ac:dyDescent="0.3">
      <c r="A13" s="1"/>
      <c r="B13" s="1" t="s">
        <v>11</v>
      </c>
      <c r="C13" s="1"/>
    </row>
    <row r="14" spans="1:5" hidden="1" outlineLevel="1" x14ac:dyDescent="0.3">
      <c r="A14" s="1"/>
      <c r="B14" s="1" t="str">
        <f>_xll.MakeMun($B$11,_xll.BracketEscape($B$12))</f>
        <v>[plan_controls].[plan_controls]</v>
      </c>
      <c r="C14" s="1"/>
    </row>
    <row r="15" spans="1:5" hidden="1" outlineLevel="1" x14ac:dyDescent="0.3">
      <c r="A15" s="1"/>
      <c r="B15" s="1" t="str">
        <f>_xll.MakeJSON($B$14,$B$13)</f>
        <v>"[plan_controls].[plan_controls]" : "Variable"</v>
      </c>
      <c r="C15" s="1"/>
    </row>
    <row r="16" spans="1:5" hidden="1" outlineLevel="1" x14ac:dyDescent="0.3">
      <c r="A16" s="1"/>
      <c r="B16" s="1" t="str">
        <f>_xll.MakeJSON($B$14,"false")</f>
        <v>"[plan_controls].[plan_controls]" : "false"</v>
      </c>
      <c r="C16" s="1"/>
    </row>
    <row r="17" spans="1:3" hidden="1" outlineLevel="1" x14ac:dyDescent="0.3">
      <c r="A17" s="1"/>
      <c r="B17" s="7" t="str">
        <f>_xll.TM1SET($B$1,$B$2,$B$11,$B$12,$B$10,"Data Source","SWotvHcDAIALAAAQ",$B$13,"sessionSet")</f>
        <v>yw5ci3kDAIAYAAAQ</v>
      </c>
      <c r="C17" s="1"/>
    </row>
    <row r="18" spans="1:3" hidden="1" outlineLevel="1" x14ac:dyDescent="0.3">
      <c r="A18" s="1"/>
      <c r="B18" s="1" t="str">
        <f>"TM1SubsetToSet("&amp;$B$14&amp;","&amp;"'"&amp;$B$17&amp;"')"</f>
        <v>TM1SubsetToSet([plan_controls].[plan_controls],'yw5ci3kDAIAYAAAQ')</v>
      </c>
      <c r="C18" s="1"/>
    </row>
    <row r="19" spans="1:3" hidden="1" outlineLevel="1" x14ac:dyDescent="0.3">
      <c r="A19" s="1" t="str">
        <f>_xll.ConcatCrossJoin($B$18)</f>
        <v xml:space="preserve"> { TM1SubsetToSet([plan_controls].[plan_controls],'yw5ci3kDAIAYAAAQ') } </v>
      </c>
      <c r="B19" s="1" t="s">
        <v>12</v>
      </c>
      <c r="C19" s="1" t="str">
        <f>_xll.MakeAxis($B$35,$A$19,"1",$B$19)</f>
        <v xml:space="preserve"> TM1IGNORE_BADTUPLES {  {  { TM1SubsetToSet([plan_controls].[plan_controls],'yw5ci3kDAIAYAAAQ') }  }  }  DIMENSION PROPERTIES MEMBER_UNIQUE_NAME, MEMBER_NAME, MEMBER_CAPTION, LEVEL_NUMBER, CHILDREN_CARDINALITY ON 1</v>
      </c>
    </row>
    <row r="20" spans="1:3" hidden="1" outlineLevel="1" x14ac:dyDescent="0.3"/>
    <row r="21" spans="1:3" hidden="1" outlineLevel="1" x14ac:dyDescent="0.3">
      <c r="A21" s="1" t="s">
        <v>13</v>
      </c>
      <c r="B21" s="1" t="s">
        <v>14</v>
      </c>
      <c r="C21" s="1"/>
    </row>
    <row r="22" spans="1:3" hidden="1" outlineLevel="1" x14ac:dyDescent="0.3">
      <c r="A22" s="1"/>
      <c r="B22" s="1" t="s">
        <v>15</v>
      </c>
      <c r="C22" s="1"/>
    </row>
    <row r="23" spans="1:3" hidden="1" outlineLevel="1" x14ac:dyDescent="0.3">
      <c r="A23" s="1"/>
      <c r="B23" s="1" t="s">
        <v>15</v>
      </c>
      <c r="C23" s="1"/>
    </row>
    <row r="24" spans="1:3" hidden="1" outlineLevel="1" x14ac:dyDescent="0.3">
      <c r="A24" s="1"/>
      <c r="B24" s="1" t="s">
        <v>16</v>
      </c>
      <c r="C24" s="1"/>
    </row>
    <row r="25" spans="1:3" hidden="1" outlineLevel="1" x14ac:dyDescent="0.3">
      <c r="A25" s="1"/>
      <c r="B25" s="1" t="str">
        <f>_xll.MakeMun($B$22,_xll.BracketEscape($B$23))</f>
        <v>[plan_measure_setting].[plan_measure_setting]</v>
      </c>
      <c r="C25" s="1"/>
    </row>
    <row r="26" spans="1:3" hidden="1" outlineLevel="1" x14ac:dyDescent="0.3">
      <c r="A26" s="1"/>
      <c r="B26" s="1" t="str">
        <f>_xll.MakeJSON($B$25,$B$24)</f>
        <v>"[plan_measure_setting].[plan_measure_setting]" : "Setting"</v>
      </c>
      <c r="C26" s="1"/>
    </row>
    <row r="27" spans="1:3" hidden="1" outlineLevel="1" x14ac:dyDescent="0.3">
      <c r="A27" s="1"/>
      <c r="B27" s="1" t="str">
        <f>_xll.MakeJSON($B$25,"false")</f>
        <v>"[plan_measure_setting].[plan_measure_setting]" : "false"</v>
      </c>
      <c r="C27" s="1"/>
    </row>
    <row r="28" spans="1:3" hidden="1" outlineLevel="1" x14ac:dyDescent="0.3">
      <c r="A28" s="1"/>
      <c r="B28" s="1" t="str">
        <f>_xll.TM1SET($B$1,$B$2,$B$22,$B$23,$B$21,,,$B$24,"sessionSet")</f>
        <v>yw5ci3kDAIAIAAAQ</v>
      </c>
      <c r="C28" s="1"/>
    </row>
    <row r="29" spans="1:3" hidden="1" outlineLevel="1" x14ac:dyDescent="0.3">
      <c r="A29" s="1"/>
      <c r="B29" s="1" t="str">
        <f>"TM1SubsetToSet("&amp;$B$25&amp;","&amp;"'"&amp;$B$28&amp;"')"</f>
        <v>TM1SubsetToSet([plan_measure_setting].[plan_measure_setting],'yw5ci3kDAIAIAAAQ')</v>
      </c>
      <c r="C29" s="1"/>
    </row>
    <row r="30" spans="1:3" hidden="1" outlineLevel="1" x14ac:dyDescent="0.3">
      <c r="A30" s="1" t="str">
        <f>_xll.ConcatCrossJoin($B$29)</f>
        <v xml:space="preserve"> { TM1SubsetToSet([plan_measure_setting].[plan_measure_setting],'yw5ci3kDAIAIAAAQ') } </v>
      </c>
      <c r="B30" s="1" t="s">
        <v>12</v>
      </c>
      <c r="C30" s="1" t="str">
        <f>_xll.MakeAxis($A$35,$A$30,"0",$B$30)</f>
        <v xml:space="preserve"> TM1IGNORE_BADTUPLES {  {  { TM1SubsetToSet([plan_measure_setting].[plan_measure_setting],'yw5ci3kDAIAIAAAQ') }  }  }  DIMENSION PROPERTIES MEMBER_UNIQUE_NAME, MEMBER_NAME, MEMBER_CAPTION, LEVEL_NUMBER, CHILDREN_CARDINALITY ON 0</v>
      </c>
    </row>
    <row r="31" spans="1:3" hidden="1" outlineLevel="1" x14ac:dyDescent="0.3"/>
    <row r="32" spans="1:3" hidden="1" outlineLevel="1" x14ac:dyDescent="0.3">
      <c r="A32" s="1" t="s">
        <v>17</v>
      </c>
      <c r="B32" s="1"/>
      <c r="C32" s="1"/>
    </row>
    <row r="33" spans="1:9" hidden="1" outlineLevel="1" x14ac:dyDescent="0.3"/>
    <row r="34" spans="1:9" hidden="1" outlineLevel="1" x14ac:dyDescent="0.3">
      <c r="A34" s="1" t="s">
        <v>18</v>
      </c>
      <c r="B34" s="1" t="str">
        <f>_xll.ConcatStrings(,tm2\\_0_calcs)</f>
        <v/>
      </c>
      <c r="C34" s="4" t="s">
        <v>19</v>
      </c>
      <c r="D34" s="2"/>
      <c r="E34" s="2"/>
      <c r="F34" s="2"/>
      <c r="G34" s="2"/>
    </row>
    <row r="35" spans="1:9" hidden="1" outlineLevel="1" x14ac:dyDescent="0.3">
      <c r="A35" s="1" t="str">
        <f>IF(OR(COUNTIF($G$37, "*Supprimer les colonnes uniquement*"), COUNTIF($G$37, "*Supprimer les lignes et les colonnes*")), "NON EMPTY", "")</f>
        <v/>
      </c>
      <c r="B35" s="1" t="str">
        <f>IF(OR(COUNTIF($G$37, "*Supprimer les lignes uniquement*"), COUNTIF($G$37, "*Supprimer les lignes et les colonnes*")), "NON EMPTY", "")</f>
        <v/>
      </c>
      <c r="G35" s="3" t="str">
        <f ca="1">IF(_xll.TM2RPTELISCONSOLIDATED(G48),IF(_xll.TM2RPTELLEV(G48)&lt;=5,_xll.TM2RPTELLEV(G48),"Default"),"Leaf")</f>
        <v>Leaf</v>
      </c>
    </row>
    <row r="36" spans="1:9" collapsed="1" x14ac:dyDescent="0.3">
      <c r="A36" s="1" t="s">
        <v>20</v>
      </c>
      <c r="B36" s="1" t="s">
        <v>21</v>
      </c>
      <c r="C36" s="1" t="s">
        <v>22</v>
      </c>
      <c r="D36" s="1" t="s">
        <v>0</v>
      </c>
    </row>
    <row r="37" spans="1:9" x14ac:dyDescent="0.3">
      <c r="F37" s="1" t="s">
        <v>1</v>
      </c>
      <c r="G37" s="1" t="s">
        <v>0</v>
      </c>
      <c r="H37" s="1"/>
    </row>
    <row r="39" spans="1:9" x14ac:dyDescent="0.3">
      <c r="F39" t="s">
        <v>27</v>
      </c>
      <c r="G39" t="s">
        <v>28</v>
      </c>
    </row>
    <row r="40" spans="1:9" x14ac:dyDescent="0.3">
      <c r="F40" t="s">
        <v>25</v>
      </c>
      <c r="G40" t="s">
        <v>32</v>
      </c>
    </row>
    <row r="41" spans="1:9" x14ac:dyDescent="0.3">
      <c r="F41" t="s">
        <v>26</v>
      </c>
      <c r="G41" t="s">
        <v>33</v>
      </c>
    </row>
    <row r="42" spans="1:9" x14ac:dyDescent="0.3">
      <c r="F42" t="s">
        <v>29</v>
      </c>
      <c r="G42" t="s">
        <v>30</v>
      </c>
    </row>
    <row r="47" spans="1:9" x14ac:dyDescent="0.3">
      <c r="A47" s="1"/>
      <c r="B47" s="1"/>
      <c r="C47" s="1"/>
      <c r="D47" s="1"/>
      <c r="E47" s="1"/>
      <c r="H47" s="1"/>
      <c r="I47" s="1"/>
    </row>
    <row r="48" spans="1:9" x14ac:dyDescent="0.3">
      <c r="G48" s="6" t="s">
        <v>16</v>
      </c>
    </row>
    <row r="49" spans="3:7" x14ac:dyDescent="0.3">
      <c r="C49" s="3" t="str">
        <f ca="1">IF(_xll.TM2RPTELISCONSOLIDATED(F49),IF(_xll.TM2RPTELLEV(F49)&lt;=5,_xll.TM2RPTELLEV(F49),"Default"),"Leaf")</f>
        <v>Leaf</v>
      </c>
      <c r="F49" s="6" t="s">
        <v>23</v>
      </c>
      <c r="G49" s="5" t="s">
        <v>32</v>
      </c>
    </row>
    <row r="50" spans="3:7" x14ac:dyDescent="0.3">
      <c r="C50" s="3" t="str">
        <f ca="1">IF(_xll.TM2RPTELISCONSOLIDATED(F50),IF(_xll.TM2RPTELLEV(F50)&lt;=5,_xll.TM2RPTELLEV(F50),"Default"),"Leaf")</f>
        <v>Leaf</v>
      </c>
      <c r="F50" s="6" t="s">
        <v>24</v>
      </c>
      <c r="G50" s="5" t="s">
        <v>33</v>
      </c>
    </row>
    <row r="51" spans="3:7" x14ac:dyDescent="0.3">
      <c r="C51" s="3" t="str">
        <f ca="1">IF(_xll.TM2RPTELISCONSOLIDATED(F51),IF(_xll.TM2RPTELLEV(F51)&lt;=5,_xll.TM2RPTELLEV(F51),"Default"),"Leaf")</f>
        <v>Leaf</v>
      </c>
      <c r="F51" s="6" t="s">
        <v>29</v>
      </c>
      <c r="G51" s="5" t="s">
        <v>34</v>
      </c>
    </row>
  </sheetData>
  <conditionalFormatting sqref="G49 G51">
    <cfRule type="expression" priority="9" stopIfTrue="1">
      <formula>$C49="Leaf"</formula>
    </cfRule>
    <cfRule type="expression" priority="10" stopIfTrue="1">
      <formula>$C49="Default"</formula>
    </cfRule>
    <cfRule type="expression" priority="11" stopIfTrue="1">
      <formula>$C49=0</formula>
    </cfRule>
    <cfRule type="expression" priority="12" stopIfTrue="1">
      <formula>$C49=1</formula>
    </cfRule>
    <cfRule type="expression" priority="13" stopIfTrue="1">
      <formula>$C49=2</formula>
    </cfRule>
    <cfRule type="expression" priority="14" stopIfTrue="1">
      <formula>$C49=3</formula>
    </cfRule>
    <cfRule type="expression" priority="15" stopIfTrue="1">
      <formula>$C49=4</formula>
    </cfRule>
    <cfRule type="expression" priority="16" stopIfTrue="1">
      <formula>$C49=5</formula>
    </cfRule>
    <cfRule type="expression" priority="25" stopIfTrue="1">
      <formula>G$35="Leaf"</formula>
    </cfRule>
    <cfRule type="expression" priority="26" stopIfTrue="1">
      <formula>G$35="Default"</formula>
    </cfRule>
    <cfRule type="expression" priority="27" stopIfTrue="1">
      <formula>G$35=0</formula>
    </cfRule>
    <cfRule type="expression" priority="28" stopIfTrue="1">
      <formula>G$35=1</formula>
    </cfRule>
    <cfRule type="expression" priority="29" stopIfTrue="1">
      <formula>G$35=2</formula>
    </cfRule>
    <cfRule type="expression" priority="30" stopIfTrue="1">
      <formula>G$35=3</formula>
    </cfRule>
    <cfRule type="expression" priority="31" stopIfTrue="1">
      <formula>G$35=4</formula>
    </cfRule>
    <cfRule type="expression" priority="32" stopIfTrue="1">
      <formula>G$35=5</formula>
    </cfRule>
  </conditionalFormatting>
  <conditionalFormatting sqref="G48">
    <cfRule type="expression" dxfId="31" priority="17" stopIfTrue="1">
      <formula>G$35="Leaf"</formula>
    </cfRule>
    <cfRule type="expression" dxfId="30" priority="18" stopIfTrue="1">
      <formula>G$35="Default"</formula>
    </cfRule>
    <cfRule type="expression" dxfId="29" priority="19" stopIfTrue="1">
      <formula>G$35=0</formula>
    </cfRule>
    <cfRule type="expression" dxfId="28" priority="20" stopIfTrue="1">
      <formula>G$35=1</formula>
    </cfRule>
    <cfRule type="expression" dxfId="27" priority="21" stopIfTrue="1">
      <formula>G$35=2</formula>
    </cfRule>
    <cfRule type="expression" dxfId="26" priority="22" stopIfTrue="1">
      <formula>G$35=3</formula>
    </cfRule>
    <cfRule type="expression" dxfId="25" priority="23" stopIfTrue="1">
      <formula>G$35=4</formula>
    </cfRule>
    <cfRule type="expression" dxfId="24" priority="24" stopIfTrue="1">
      <formula>G$35=5</formula>
    </cfRule>
  </conditionalFormatting>
  <conditionalFormatting sqref="G50">
    <cfRule type="expression" priority="113" stopIfTrue="1">
      <formula>$C51="Leaf"</formula>
    </cfRule>
    <cfRule type="expression" priority="114" stopIfTrue="1">
      <formula>$C51="Default"</formula>
    </cfRule>
    <cfRule type="expression" priority="115" stopIfTrue="1">
      <formula>$C51=0</formula>
    </cfRule>
    <cfRule type="expression" priority="116" stopIfTrue="1">
      <formula>$C51=1</formula>
    </cfRule>
    <cfRule type="expression" priority="117" stopIfTrue="1">
      <formula>$C51=2</formula>
    </cfRule>
    <cfRule type="expression" priority="118" stopIfTrue="1">
      <formula>$C51=3</formula>
    </cfRule>
    <cfRule type="expression" priority="119" stopIfTrue="1">
      <formula>$C51=4</formula>
    </cfRule>
    <cfRule type="expression" priority="120" stopIfTrue="1">
      <formula>$C51=5</formula>
    </cfRule>
    <cfRule type="expression" priority="121" stopIfTrue="1">
      <formula>G$35="Leaf"</formula>
    </cfRule>
    <cfRule type="expression" priority="122" stopIfTrue="1">
      <formula>G$35="Default"</formula>
    </cfRule>
    <cfRule type="expression" priority="123" stopIfTrue="1">
      <formula>G$35=0</formula>
    </cfRule>
    <cfRule type="expression" priority="124" stopIfTrue="1">
      <formula>G$35=1</formula>
    </cfRule>
    <cfRule type="expression" priority="125" stopIfTrue="1">
      <formula>G$35=2</formula>
    </cfRule>
    <cfRule type="expression" priority="126" stopIfTrue="1">
      <formula>G$35=3</formula>
    </cfRule>
    <cfRule type="expression" priority="127" stopIfTrue="1">
      <formula>G$35=4</formula>
    </cfRule>
    <cfRule type="expression" priority="128" stopIfTrue="1">
      <formula>G$35=5</formula>
    </cfRule>
  </conditionalFormatting>
  <conditionalFormatting sqref="F49:F51">
    <cfRule type="expression" dxfId="23" priority="1" stopIfTrue="1">
      <formula>$C49="Leaf"</formula>
    </cfRule>
    <cfRule type="expression" dxfId="22" priority="2" stopIfTrue="1">
      <formula>$C49="Default"</formula>
    </cfRule>
    <cfRule type="expression" dxfId="21" priority="3" stopIfTrue="1">
      <formula>$C49=0</formula>
    </cfRule>
    <cfRule type="expression" dxfId="20" priority="4" stopIfTrue="1">
      <formula>$C49=1</formula>
    </cfRule>
    <cfRule type="expression" dxfId="19" priority="5" stopIfTrue="1">
      <formula>$C49=2</formula>
    </cfRule>
    <cfRule type="expression" dxfId="18" priority="6" stopIfTrue="1">
      <formula>$C49=3</formula>
    </cfRule>
    <cfRule type="expression" dxfId="17" priority="7" stopIfTrue="1">
      <formula>$C49=4</formula>
    </cfRule>
    <cfRule type="expression" dxfId="16" priority="8" stopIfTrue="1">
      <formula>$C49=5</formula>
    </cfRule>
  </conditionalFormatting>
  <dataValidations count="1">
    <dataValidation type="list" errorStyle="information" allowBlank="1" showInputMessage="1" showErrorMessage="1" sqref="G37" xr:uid="{A31202CA-D36F-4AA9-A3A2-43781A15719F}">
      <formula1>$A$36:$D$36</formula1>
    </dataValidation>
  </dataValidations>
  <pageMargins left="0.7" right="0.7" top="0.75" bottom="0.75" header="0.3" footer="0.3"/>
  <headerFooter>
    <oddFooter>&amp;C_x000D_&amp;1#&amp;"arial"&amp;9&amp;K008000 C1 - Internal use</oddFooter>
  </headerFooter>
  <customProperties>
    <customPr name="TM1Actions" r:id="rId1"/>
  </customPropertie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13</vt:i4>
      </vt:variant>
    </vt:vector>
  </HeadingPairs>
  <TitlesOfParts>
    <vt:vector size="14" baseType="lpstr">
      <vt:lpstr>Feuil1</vt:lpstr>
      <vt:lpstr>Feuil1!tm2\\_0_c</vt:lpstr>
      <vt:lpstr>Feuil1!tm2\\_0_calcs</vt:lpstr>
      <vt:lpstr>Feuil1!tm2\\_0_cg</vt:lpstr>
      <vt:lpstr>Feuil1!tm2\\_0_cx</vt:lpstr>
      <vt:lpstr>Feuil1!tm2\\_0_d</vt:lpstr>
      <vt:lpstr>Feuil1!tm2\\_0_p</vt:lpstr>
      <vt:lpstr>Feuil1!tm2\\_0_q</vt:lpstr>
      <vt:lpstr>Feuil1!tm2\\_0_r</vt:lpstr>
      <vt:lpstr>Feuil1!tm2\\_0_rg</vt:lpstr>
      <vt:lpstr>Feuil1!tm2\\_0_rx</vt:lpstr>
      <vt:lpstr>Feuil1!tm2\\_hc</vt:lpstr>
      <vt:lpstr>Feuil1!tm2\\_hr</vt:lpstr>
      <vt:lpstr>Feuil1!tm2\\_tracked</vt:lpstr>
    </vt:vector>
  </TitlesOfParts>
  <Company>LOREAL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CROHAS Paul</dc:creator>
  <cp:lastModifiedBy>CROHAS Paul</cp:lastModifiedBy>
  <dcterms:created xsi:type="dcterms:W3CDTF">2024-06-10T13:18:11Z</dcterms:created>
  <dcterms:modified xsi:type="dcterms:W3CDTF">2024-08-19T14:05:27Z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3b7177-c66c-4b22-a350-7ee86f9a1e74_Enabled">
    <vt:lpwstr>true</vt:lpwstr>
  </property>
  <property fmtid="{D5CDD505-2E9C-101B-9397-08002B2CF9AE}" pid="3" name="MSIP_Label_f43b7177-c66c-4b22-a350-7ee86f9a1e74_SetDate">
    <vt:lpwstr>2024-06-10T13:30:43Z</vt:lpwstr>
  </property>
  <property fmtid="{D5CDD505-2E9C-101B-9397-08002B2CF9AE}" pid="4" name="MSIP_Label_f43b7177-c66c-4b22-a350-7ee86f9a1e74_Method">
    <vt:lpwstr>Standard</vt:lpwstr>
  </property>
  <property fmtid="{D5CDD505-2E9C-101B-9397-08002B2CF9AE}" pid="5" name="MSIP_Label_f43b7177-c66c-4b22-a350-7ee86f9a1e74_Name">
    <vt:lpwstr>C1_Internal use</vt:lpwstr>
  </property>
  <property fmtid="{D5CDD505-2E9C-101B-9397-08002B2CF9AE}" pid="6" name="MSIP_Label_f43b7177-c66c-4b22-a350-7ee86f9a1e74_SiteId">
    <vt:lpwstr>e4e1abd9-eac7-4a71-ab52-da5c998aa7ba</vt:lpwstr>
  </property>
  <property fmtid="{D5CDD505-2E9C-101B-9397-08002B2CF9AE}" pid="7" name="MSIP_Label_f43b7177-c66c-4b22-a350-7ee86f9a1e74_ActionId">
    <vt:lpwstr>754d1d22-8744-4d8c-bfaa-9a88de1ab7cd</vt:lpwstr>
  </property>
  <property fmtid="{D5CDD505-2E9C-101B-9397-08002B2CF9AE}" pid="8" name="MSIP_Label_f43b7177-c66c-4b22-a350-7ee86f9a1e74_ContentBits">
    <vt:lpwstr>2</vt:lpwstr>
  </property>
</Properties>
</file>