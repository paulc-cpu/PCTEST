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.crohas\AppData\Local\Temp\"/>
    </mc:Choice>
  </mc:AlternateContent>
  <xr:revisionPtr revIDLastSave="0" documentId="8_{AED1DEF9-7E00-47D8-97FA-800621C3F760}" xr6:coauthVersionLast="47" xr6:coauthVersionMax="47" xr10:uidLastSave="{00000000-0000-0000-0000-000000000000}"/>
  <bookViews>
    <workbookView xWindow="-108" yWindow="-108" windowWidth="23256" windowHeight="12456" firstSheet="1" activeTab="1" xr2:uid="{71C41E89-0AC4-4A77-A9E0-8E98FD537829}"/>
  </bookViews>
  <sheets>
    <sheet name="Cognos_Office_Connection_Cache" sheetId="2" state="veryHidden" r:id="rId1"/>
    <sheet name="Exploration" sheetId="1" r:id="rId2"/>
    <sheet name="Quick" sheetId="3" r:id="rId3"/>
    <sheet name="Dynamic" sheetId="4" r:id="rId4"/>
    <sheet name="Custom" sheetId="5" r:id="rId5"/>
    <sheet name="Universal" sheetId="6" r:id="rId6"/>
    <sheet name="Universal (static)" sheetId="7" r:id="rId7"/>
    <sheet name="TI button" sheetId="8" r:id="rId8"/>
    <sheet name="Parameters" sheetId="9" r:id="rId9"/>
  </sheets>
  <definedNames>
    <definedName name="Datasource">Parameters!$B$1</definedName>
    <definedName name="ID" localSheetId="0" hidden="1">"4b24e474-32f7-45a2-8802-a7351d4cf6e6"</definedName>
    <definedName name="ID" localSheetId="4" hidden="1">"daced0b5-a8e5-4ab3-82bc-be6cdf2df997"</definedName>
    <definedName name="ID" localSheetId="3" hidden="1">"d8109c03-3e8c-4373-b767-e7df2381b53e"</definedName>
    <definedName name="ID" localSheetId="1" hidden="1">"633a0e8c-40b1-4004-bbaf-d343d55c839a"</definedName>
    <definedName name="ID" localSheetId="8" hidden="1">"646bb3ef-95dd-409f-bcff-4136188e344b"</definedName>
    <definedName name="ID" localSheetId="2" hidden="1">"753aa693-5650-400a-9d03-9783015c522f"</definedName>
    <definedName name="ID" localSheetId="7" hidden="1">"1bb9023e-3306-4738-9cf5-b50cb9481035"</definedName>
    <definedName name="ID" localSheetId="5" hidden="1">"9af5271c-8fd8-4446-b60b-da34b43e9915"</definedName>
    <definedName name="ID" localSheetId="6" hidden="1">"ac37db5f-b379-4e69-8705-3cab9c8489e8"</definedName>
    <definedName name="msg_confirm">Parameters!$B$4</definedName>
    <definedName name="msg_fail">Parameters!$B$6</definedName>
    <definedName name="msg_success">Parameters!$B$5</definedName>
    <definedName name="Server">Parameters!$B$2</definedName>
    <definedName name="TI_name">Parameters!$B$3</definedName>
    <definedName name="TI_param">'TI button'!$G$41:$G$43</definedName>
    <definedName name="tm1\\_0_C">Quick!$C$10:$L$11</definedName>
    <definedName name="tm1\\_0_H">"{ ""server"" : ""https://oa-pa-users.planning-analytics.cloud.ibm.com/"", ""cube"" : ""{ \""server\"" : \""Planning Sample\"", \""cube\"" : \""plan_BudgetPlan\""}""}"</definedName>
    <definedName name="tm1\\_0_L">Quick!$A$5:$A$8</definedName>
    <definedName name="tm1\\_0_R">Quick!$A$12:$B$15</definedName>
    <definedName name="tm1\\_0_S">Quick!$B$5:$B$8</definedName>
    <definedName name="tm1\\_0_T">Quick!$A$1:$B$3</definedName>
    <definedName name="TM1REBUILDOPTION">1</definedName>
    <definedName name="TM1RPTDATARNG62360598" localSheetId="3">Dynamic!$21:$24</definedName>
    <definedName name="TM1RPTFMTIDCOL62360598" localSheetId="3">Dynamic!$A$1:$A$10</definedName>
    <definedName name="TM1RPTFMTRNG62360598" localSheetId="3">Dynamic!$B$1:$M$10</definedName>
    <definedName name="TM1RPTQRYRNG62360598" localSheetId="3">Dynamic!$B$11:$C$11</definedName>
    <definedName name="TM1RPTVIEWRNG62360598" localSheetId="3">Dynamic!$B$12</definedName>
    <definedName name="tm2\\_0_c" localSheetId="7">'TI button'!$G$48</definedName>
    <definedName name="tm2\\_0_c" localSheetId="5">Universal!$F$43:$O$44</definedName>
    <definedName name="tm2\\_0_calcs" localSheetId="7">'TI button'!$C$34:$G$34</definedName>
    <definedName name="tm2\\_0_calcs" localSheetId="5">Universal!$C$34:$G$34</definedName>
    <definedName name="tm2\\_0_calcs" localSheetId="6">'Universal (static)'!$C$6:$G$6</definedName>
    <definedName name="tm2\\_0_cg" localSheetId="7">'TI button'!$H$48:$H$51</definedName>
    <definedName name="tm2\\_0_cg" localSheetId="5">Universal!$P$43:$P$48</definedName>
    <definedName name="tm2\\_0_cg" localSheetId="6">'Universal (static)'!$P$12:$P$17</definedName>
    <definedName name="tm2\\_0_ch" localSheetId="6">{"[plan_version].[plan_version]","[plan_time].[plan_time]"}</definedName>
    <definedName name="tm2\\_0_cm" localSheetId="6">'Universal (static)'!$F$12:$O$13</definedName>
    <definedName name="tm2\\_0_cx" localSheetId="7">'TI button'!$G$35</definedName>
    <definedName name="tm2\\_0_cx" localSheetId="5">Universal!$F$35:$O$35</definedName>
    <definedName name="tm2\\_0_d" localSheetId="7">'TI button'!$G$49:$G$51</definedName>
    <definedName name="tm2\\_0_d" localSheetId="5">Universal!$F$45:$O$48</definedName>
    <definedName name="tm2\\_0_d" localSheetId="6">'Universal (static)'!$F$14:$O$17</definedName>
    <definedName name="tm2\\_0_p" localSheetId="7">'TI button'!$B$1:$B$6</definedName>
    <definedName name="tm2\\_0_p" localSheetId="5">Universal!$B$1:$B$6</definedName>
    <definedName name="tm2\\_0_p" localSheetId="6">'Universal (static)'!$B$1:$B$2</definedName>
    <definedName name="tm2\\_0_q" localSheetId="7">'TI button'!$B$8</definedName>
    <definedName name="tm2\\_0_q" localSheetId="5">Universal!$B$8</definedName>
    <definedName name="tm2\\_0_q" localSheetId="6">'Universal (static)'!$B$4</definedName>
    <definedName name="tm2\\_0_r" localSheetId="7">'TI button'!$F$49:$F$51</definedName>
    <definedName name="tm2\\_0_r" localSheetId="5">Universal!$D$45:$E$48</definedName>
    <definedName name="tm2\\_0_rg" localSheetId="7">'TI button'!$F$52:$G$52</definedName>
    <definedName name="tm2\\_0_rg" localSheetId="5">Universal!$D$49:$O$49</definedName>
    <definedName name="tm2\\_0_rg" localSheetId="6">'Universal (static)'!$D$18:$O$18</definedName>
    <definedName name="tm2\\_0_rh" localSheetId="6">{"[plan_chart_of_accounts].[plan_chart_of_accounts]","[plan_business_unit].[plan_business_unit]"}</definedName>
    <definedName name="tm2\\_0_rm" localSheetId="6">'Universal (static)'!$D$14:$E$17</definedName>
    <definedName name="tm2\\_0_rx" localSheetId="7">'TI button'!$C$49:$C$51</definedName>
    <definedName name="tm2\\_0_rx" localSheetId="5">Universal!$C$45:$C$48</definedName>
    <definedName name="tm2\\_0_sh" localSheetId="6">_xll.MakeMunArray('Universal (static)'!$D$8:$D$10,'Universal (static)'!$E$8:$E$10)</definedName>
    <definedName name="tm2\\_0_slicers" localSheetId="5">Universal!$F$39:$F$41</definedName>
    <definedName name="tm2\\_0_slicers" localSheetId="6">'Universal (static)'!$F$8:$F$10</definedName>
    <definedName name="tm2\\_hc" localSheetId="7">'TI button'!$A:$E</definedName>
    <definedName name="tm2\\_hc" localSheetId="5">Universal!$A:$C</definedName>
    <definedName name="tm2\\_hc" localSheetId="6">'Universal (static)'!$A:$C</definedName>
    <definedName name="tm2\\_hr" localSheetId="7">'TI button'!$1:$36</definedName>
    <definedName name="tm2\\_hr" localSheetId="5">Universal!$1:$36</definedName>
    <definedName name="tm2\\_hr" localSheetId="6">'Universal (static)'!$1:$7</definedName>
    <definedName name="tm2\\_tracked" localSheetId="7">'TI button'!$B$17,'TI button'!$B$28</definedName>
    <definedName name="tm2\\_tracked" localSheetId="5">Universal!$B$17:$C$17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" l="1"/>
  <c r="B1" i="7"/>
  <c r="B2" i="6"/>
  <c r="B1" i="6"/>
  <c r="B14" i="8"/>
  <c r="B15" i="8" s="1"/>
  <c r="D5" i="8" s="1"/>
  <c r="B25" i="8"/>
  <c r="B27" i="8" s="1"/>
  <c r="E6" i="8" s="1"/>
  <c r="B34" i="8"/>
  <c r="A35" i="8"/>
  <c r="B35" i="8"/>
  <c r="B1" i="9" a="1"/>
  <c r="B2" i="9" a="1"/>
  <c r="C51" i="8"/>
  <c r="C50" i="8"/>
  <c r="G35" i="8"/>
  <c r="C49" i="8"/>
  <c r="B2" i="9" l="1"/>
  <c r="B1" i="9"/>
  <c r="B26" i="8"/>
  <c r="E5" i="8" s="1"/>
  <c r="C5" i="8" s="1"/>
  <c r="B5" i="8" s="1"/>
  <c r="B16" i="8"/>
  <c r="D6" i="8" s="1"/>
  <c r="C6" i="8" s="1"/>
  <c r="B6" i="8" s="1"/>
  <c r="B1" i="3" l="1"/>
  <c r="B1" i="8"/>
  <c r="B2" i="8"/>
  <c r="B2" i="3"/>
  <c r="B6" i="7"/>
  <c r="E5" i="6"/>
  <c r="E6" i="6"/>
  <c r="B14" i="6"/>
  <c r="B15" i="6" s="1"/>
  <c r="C14" i="6"/>
  <c r="C16" i="6" s="1"/>
  <c r="A30" i="6"/>
  <c r="B34" i="6"/>
  <c r="A35" i="6"/>
  <c r="C30" i="6" s="1"/>
  <c r="B35" i="6"/>
  <c r="B28" i="8"/>
  <c r="B17" i="8"/>
  <c r="B4" i="5"/>
  <c r="B3" i="5"/>
  <c r="C15" i="4"/>
  <c r="B2" i="5"/>
  <c r="C16" i="4"/>
  <c r="A24" i="4"/>
  <c r="A23" i="4"/>
  <c r="F10" i="7"/>
  <c r="A22" i="4"/>
  <c r="A21" i="4"/>
  <c r="C14" i="4"/>
  <c r="L35" i="6"/>
  <c r="C46" i="6"/>
  <c r="F35" i="6"/>
  <c r="H35" i="6"/>
  <c r="C48" i="6"/>
  <c r="C47" i="6"/>
  <c r="O35" i="6"/>
  <c r="G35" i="6"/>
  <c r="K35" i="6"/>
  <c r="N35" i="6"/>
  <c r="J35" i="6"/>
  <c r="I35" i="6"/>
  <c r="M35" i="6"/>
  <c r="C45" i="6"/>
  <c r="F8" i="7"/>
  <c r="F9" i="7"/>
  <c r="F41" i="6"/>
  <c r="F40" i="6"/>
  <c r="B17" i="6"/>
  <c r="C17" i="6"/>
  <c r="F39" i="6"/>
  <c r="A1" i="5" l="1"/>
  <c r="B18" i="8"/>
  <c r="A19" i="8" s="1"/>
  <c r="C19" i="8" s="1"/>
  <c r="B29" i="8"/>
  <c r="A30" i="8" s="1"/>
  <c r="C30" i="8" s="1"/>
  <c r="B4" i="7"/>
  <c r="C8" i="7"/>
  <c r="C9" i="7"/>
  <c r="C10" i="7"/>
  <c r="C39" i="6"/>
  <c r="C41" i="6"/>
  <c r="C40" i="6"/>
  <c r="C18" i="6"/>
  <c r="B18" i="6"/>
  <c r="B16" i="6"/>
  <c r="D6" i="6" s="1"/>
  <c r="C6" i="6" s="1"/>
  <c r="B6" i="6" s="1"/>
  <c r="C15" i="6"/>
  <c r="D5" i="6" s="1"/>
  <c r="C5" i="6" s="1"/>
  <c r="B5" i="6" s="1"/>
  <c r="B12" i="4"/>
  <c r="I9" i="5"/>
  <c r="L8" i="5"/>
  <c r="G8" i="5"/>
  <c r="F9" i="5"/>
  <c r="K11" i="5"/>
  <c r="J10" i="5"/>
  <c r="I8" i="5"/>
  <c r="H11" i="5"/>
  <c r="G9" i="5"/>
  <c r="H10" i="5"/>
  <c r="G11" i="5"/>
  <c r="C8" i="5"/>
  <c r="D8" i="5"/>
  <c r="E10" i="5"/>
  <c r="F11" i="5"/>
  <c r="G10" i="5"/>
  <c r="E11" i="5"/>
  <c r="H8" i="5"/>
  <c r="C11" i="5"/>
  <c r="J9" i="5"/>
  <c r="F8" i="5"/>
  <c r="E9" i="5"/>
  <c r="D10" i="5"/>
  <c r="J8" i="5"/>
  <c r="E8" i="5"/>
  <c r="D9" i="5"/>
  <c r="C10" i="5"/>
  <c r="L10" i="5"/>
  <c r="H9" i="5"/>
  <c r="C9" i="5"/>
  <c r="L9" i="5"/>
  <c r="K10" i="5"/>
  <c r="J11" i="5"/>
  <c r="F10" i="5"/>
  <c r="K9" i="5"/>
  <c r="I11" i="5"/>
  <c r="D11" i="5"/>
  <c r="I10" i="5"/>
  <c r="K8" i="5"/>
  <c r="L11" i="5"/>
  <c r="K24" i="4"/>
  <c r="F22" i="4"/>
  <c r="I22" i="4"/>
  <c r="E24" i="4"/>
  <c r="J24" i="4"/>
  <c r="E22" i="4"/>
  <c r="F24" i="4"/>
  <c r="H23" i="4"/>
  <c r="M23" i="4"/>
  <c r="H24" i="4"/>
  <c r="I23" i="4"/>
  <c r="H22" i="4"/>
  <c r="E23" i="4"/>
  <c r="K23" i="4"/>
  <c r="L22" i="4"/>
  <c r="I24" i="4"/>
  <c r="L24" i="4"/>
  <c r="G24" i="4"/>
  <c r="L23" i="4"/>
  <c r="J23" i="4"/>
  <c r="F23" i="4"/>
  <c r="G23" i="4"/>
  <c r="M22" i="4"/>
  <c r="B21" i="4"/>
  <c r="M24" i="4"/>
  <c r="D22" i="4"/>
  <c r="D24" i="4"/>
  <c r="D23" i="4"/>
  <c r="J22" i="4"/>
  <c r="G22" i="4"/>
  <c r="K22" i="4"/>
  <c r="C21" i="4"/>
  <c r="K21" i="4"/>
  <c r="D21" i="4"/>
  <c r="I21" i="4"/>
  <c r="E21" i="4"/>
  <c r="H21" i="4"/>
  <c r="F21" i="4"/>
  <c r="M21" i="4"/>
  <c r="L21" i="4"/>
  <c r="J21" i="4"/>
  <c r="G21" i="4"/>
  <c r="B8" i="8" l="1"/>
  <c r="B32" i="6"/>
  <c r="A19" i="6"/>
  <c r="C19" i="6" s="1"/>
  <c r="B8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<sst xmlns="http://schemas.openxmlformats.org/spreadsheetml/2006/main" count="321" uniqueCount="100">
  <si>
    <t>FY 2004 Budget</t>
  </si>
  <si>
    <t>FY 2004 Forecast</t>
  </si>
  <si>
    <t>2004</t>
  </si>
  <si>
    <t>Q1-2004</t>
  </si>
  <si>
    <t>Q2-2004</t>
  </si>
  <si>
    <t>Q3-2004</t>
  </si>
  <si>
    <t>Q4-2004</t>
  </si>
  <si>
    <t>Revenue</t>
  </si>
  <si>
    <t>Total Business Unit</t>
  </si>
  <si>
    <t>COS</t>
  </si>
  <si>
    <t>Operating Expense</t>
  </si>
  <si>
    <t>Net Operating Income</t>
  </si>
  <si>
    <t>Système :</t>
  </si>
  <si>
    <t>4 - CLOUD: Planning Sample</t>
  </si>
  <si>
    <t>Pack :</t>
  </si>
  <si>
    <t>plan_BudgetPlan</t>
  </si>
  <si>
    <t>Date de création :</t>
  </si>
  <si>
    <t>Date de modification :</t>
  </si>
  <si>
    <t>Lignes :</t>
  </si>
  <si>
    <t>plan_chart_of_accounts: Sélection, plan_business_unit: 10000</t>
  </si>
  <si>
    <t>Colonnes :</t>
  </si>
  <si>
    <t>plan_version: Sélection, plan_time: plan_time</t>
  </si>
  <si>
    <t>Contexte :</t>
  </si>
  <si>
    <t>plan_department: 1000, plan_exchange_rates: local, plan_source: input</t>
  </si>
  <si>
    <t>Lignes du filtre :</t>
  </si>
  <si>
    <t>Colonnes du filtre :</t>
  </si>
  <si>
    <t>Hôte</t>
  </si>
  <si>
    <t>TM1 Server</t>
  </si>
  <si>
    <t>Cube</t>
  </si>
  <si>
    <t>plan_department</t>
  </si>
  <si>
    <t>plan_exchange_rates</t>
  </si>
  <si>
    <t>plan_source</t>
  </si>
  <si>
    <t>[Base]</t>
  </si>
  <si>
    <t>Total Organization</t>
  </si>
  <si>
    <t>local</t>
  </si>
  <si>
    <t>input</t>
  </si>
  <si>
    <t>[Begin Format Range]</t>
  </si>
  <si>
    <t>Default</t>
  </si>
  <si>
    <t>Leaf</t>
  </si>
  <si>
    <t>[End Format Range]</t>
  </si>
  <si>
    <t>Nom de l'élément</t>
  </si>
  <si>
    <t>{{[plan_chart_of_accounts].[plan_chart_of_accounts].[Revenue],[plan_chart_of_accounts].[plan_chart_of_accounts].[COS],[plan_chart_of_accounts].[plan_chart_of_accounts].[Operating Expense],[plan_chart_of_accounts].[plan_chart_of_accounts].[Net Operating Income]}}</t>
  </si>
  <si>
    <t>{{[plan_business_unit].[plan_business_unit].[10000]}}</t>
  </si>
  <si>
    <t>Supprimer les lignes et les colonnes</t>
  </si>
  <si>
    <t>Zero Suppression:</t>
  </si>
  <si>
    <t>1000</t>
  </si>
  <si>
    <t>{TM1SubsetToSet([plan_department].[plan_department], "All Departments")}</t>
  </si>
  <si>
    <t>{TM1SubsetToSet([plan_exchange_rates].[plan_exchange_rates], "local exchange rate")}</t>
  </si>
  <si>
    <t>{TM1SubsetToSet([plan_source].[plan_source], "input")}</t>
  </si>
  <si>
    <t>Datasource</t>
  </si>
  <si>
    <t>Server</t>
  </si>
  <si>
    <t>Display Toggle</t>
  </si>
  <si>
    <t>Indents Per Level</t>
  </si>
  <si>
    <t>Active Display</t>
  </si>
  <si>
    <t>Expand Aboves</t>
  </si>
  <si>
    <t>Query</t>
  </si>
  <si>
    <t>RowAxisSets</t>
  </si>
  <si>
    <t>{[plan_chart_of_accounts].[plan_chart_of_accounts].[Revenue],[plan_chart_of_accounts].[plan_chart_of_accounts].[COS],[plan_chart_of_accounts].[plan_chart_of_accounts].[Operating Expense],[plan_chart_of_accounts].[plan_chart_of_accounts].[Net Operating Income]}</t>
  </si>
  <si>
    <t>{[plan_business_unit].[plan_business_unit].[10000]}</t>
  </si>
  <si>
    <t>plan_chart_of_accounts</t>
  </si>
  <si>
    <t>plan_business_unit</t>
  </si>
  <si>
    <t>AccountName</t>
  </si>
  <si>
    <t>BusinessUnit</t>
  </si>
  <si>
    <t>ColumnAxisSets</t>
  </si>
  <si>
    <t>{[plan_version].[plan_version].[FY 2004 Budget],[plan_version].[plan_version].[FY 2004 Forecast]}*{DRILLDOWNMEMBER({[plan_time].[plan_time].[2004]} , {[plan_time].[plan_time].[2004]} , RECURSIVE)}</t>
  </si>
  <si>
    <t>Slicers</t>
  </si>
  <si>
    <t>Calcs</t>
  </si>
  <si>
    <t/>
  </si>
  <si>
    <t>Supprimer les lignes uniquement</t>
  </si>
  <si>
    <t>Supprimer les colonnes uniquement</t>
  </si>
  <si>
    <t>Aucune suppression</t>
  </si>
  <si>
    <t>TM1SubsetAll([plan_controls])</t>
  </si>
  <si>
    <t>plan_controls</t>
  </si>
  <si>
    <t>Variable</t>
  </si>
  <si>
    <t>MEMBER_UNIQUE_NAME, MEMBER_NAME, MEMBER_CAPTION, LEVEL_NUMBER, CHILDREN_CARDINALITY</t>
  </si>
  <si>
    <t>TM1SubsetToSet([plan_measure_setting].[plan_measure_setting], "Default")</t>
  </si>
  <si>
    <t>plan_measure_setting</t>
  </si>
  <si>
    <t>Setting</t>
  </si>
  <si>
    <t>Data Source</t>
  </si>
  <si>
    <t>Corporate Currency</t>
  </si>
  <si>
    <t>P3</t>
  </si>
  <si>
    <t>A</t>
  </si>
  <si>
    <t>B</t>
  </si>
  <si>
    <t>C</t>
  </si>
  <si>
    <t>Value to send</t>
  </si>
  <si>
    <t>P1</t>
  </si>
  <si>
    <t>P2</t>
  </si>
  <si>
    <t>AA</t>
  </si>
  <si>
    <t>BB</t>
  </si>
  <si>
    <t>CC</t>
  </si>
  <si>
    <t>TI_name</t>
  </si>
  <si>
    <t>ZZ_TEST_TI_BUTTON</t>
  </si>
  <si>
    <t>msg_confirm</t>
  </si>
  <si>
    <t>msg_success</t>
  </si>
  <si>
    <t>msg_fail</t>
  </si>
  <si>
    <t>Run process?</t>
  </si>
  <si>
    <t>Execution succesful</t>
  </si>
  <si>
    <t>Execution failed</t>
  </si>
  <si>
    <t>8/19/2024 3:15:16 PM</t>
  </si>
  <si>
    <t>8/19/2024 3:54:46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</si>
</sst>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\(#,##0\)"/>
    <numFmt numFmtId="165" formatCode="\+\ @"/>
    <numFmt numFmtId="166" formatCode="\-\ 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9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</borders>
  <cellStyleXfs count="74">
    <xf numFmtId="0" fontId="0" fillId="0" borderId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2" fillId="0" borderId="4">
      <alignment horizontal="center" vertical="center"/>
    </xf>
    <xf numFmtId="3" fontId="3" fillId="0" borderId="2" applyFont="0" applyFill="0" applyAlignment="0" applyProtection="0"/>
    <xf numFmtId="0" fontId="3" fillId="0" borderId="2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6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82">
    <xf numFmtId="0" fontId="0" fillId="0" borderId="0" xfId="0"/>
    <xf numFmtId="3" fontId="3" fillId="0" borderId="2" xfId="63"/>
    <xf numFmtId="0" fontId="3" fillId="0" borderId="5" xfId="61">
      <alignment horizontal="center" vertical="center"/>
    </xf>
    <xf numFmtId="49" fontId="2" fillId="0" borderId="4" xfId="32" applyNumberFormat="1">
      <alignment horizontal="center" vertical="center"/>
    </xf>
    <xf numFmtId="164" fontId="3" fillId="0" borderId="2" xfId="63" applyNumberFormat="1"/>
    <xf numFmtId="49" fontId="2" fillId="0" borderId="3" xfId="67" applyNumberFormat="1" applyAlignment="1">
      <alignment horizontal="left" vertical="center"/>
    </xf>
    <xf numFmtId="49" fontId="2" fillId="0" borderId="3" xfId="67" applyNumberFormat="1" applyAlignment="1">
      <alignment horizontal="left" vertical="center" indent="1"/>
    </xf>
    <xf numFmtId="0" fontId="2" fillId="0" borderId="4" xfId="32" quotePrefix="1">
      <alignment horizontal="center" vertical="center"/>
    </xf>
    <xf numFmtId="0" fontId="2" fillId="0" borderId="3" xfId="67" quotePrefix="1" applyAlignment="1">
      <alignment horizontal="left" vertical="center" indent="1"/>
    </xf>
    <xf numFmtId="0" fontId="2" fillId="0" borderId="3" xfId="67" quotePrefix="1" applyAlignment="1">
      <alignment horizontal="left" vertical="center"/>
    </xf>
    <xf numFmtId="0" fontId="0" fillId="0" borderId="0" xfId="0" quotePrefix="1"/>
    <xf numFmtId="0" fontId="3" fillId="0" borderId="0" xfId="19" applyNumberFormat="1"/>
    <xf numFmtId="0" fontId="2" fillId="0" borderId="1" xfId="11" applyNumberFormat="1"/>
    <xf numFmtId="3" fontId="3" fillId="0" borderId="2" xfId="3"/>
    <xf numFmtId="0" fontId="3" fillId="0" borderId="0" xfId="20" applyNumberFormat="1"/>
    <xf numFmtId="0" fontId="2" fillId="0" borderId="1" xfId="12" applyNumberFormat="1"/>
    <xf numFmtId="3" fontId="3" fillId="0" borderId="2" xfId="4"/>
    <xf numFmtId="0" fontId="3" fillId="0" borderId="0" xfId="21" applyNumberFormat="1"/>
    <xf numFmtId="0" fontId="2" fillId="0" borderId="1" xfId="13" applyNumberFormat="1"/>
    <xf numFmtId="3" fontId="3" fillId="0" borderId="2" xfId="5"/>
    <xf numFmtId="0" fontId="3" fillId="0" borderId="0" xfId="22" applyNumberFormat="1"/>
    <xf numFmtId="0" fontId="2" fillId="0" borderId="1" xfId="14" applyNumberFormat="1"/>
    <xf numFmtId="3" fontId="3" fillId="0" borderId="2" xfId="6"/>
    <xf numFmtId="0" fontId="3" fillId="0" borderId="0" xfId="23" applyNumberFormat="1" applyBorder="1"/>
    <xf numFmtId="0" fontId="2" fillId="0" borderId="1" xfId="15" applyNumberFormat="1"/>
    <xf numFmtId="3" fontId="3" fillId="0" borderId="2" xfId="7"/>
    <xf numFmtId="0" fontId="3" fillId="0" borderId="0" xfId="24" applyNumberFormat="1" applyBorder="1"/>
    <xf numFmtId="0" fontId="2" fillId="0" borderId="1" xfId="16" applyNumberFormat="1"/>
    <xf numFmtId="3" fontId="3" fillId="0" borderId="2" xfId="8"/>
    <xf numFmtId="0" fontId="3" fillId="0" borderId="0" xfId="18" quotePrefix="1" applyNumberFormat="1"/>
    <xf numFmtId="0" fontId="3" fillId="0" borderId="0" xfId="18" applyNumberFormat="1"/>
    <xf numFmtId="0" fontId="2" fillId="0" borderId="1" xfId="10" applyNumberFormat="1"/>
    <xf numFmtId="3" fontId="3" fillId="0" borderId="2" xfId="2"/>
    <xf numFmtId="0" fontId="3" fillId="0" borderId="0" xfId="25" quotePrefix="1" applyNumberFormat="1" applyBorder="1"/>
    <xf numFmtId="0" fontId="3" fillId="0" borderId="0" xfId="25" applyNumberFormat="1" applyBorder="1"/>
    <xf numFmtId="0" fontId="2" fillId="0" borderId="1" xfId="17" applyNumberFormat="1"/>
    <xf numFmtId="3" fontId="3" fillId="0" borderId="2" xfId="9"/>
    <xf numFmtId="0" fontId="2" fillId="0" borderId="1" xfId="1" quotePrefix="1">
      <alignment horizontal="center" vertical="center"/>
    </xf>
    <xf numFmtId="165" fontId="2" fillId="0" borderId="1" xfId="11" applyNumberFormat="1" applyAlignment="1"/>
    <xf numFmtId="0" fontId="2" fillId="0" borderId="4" xfId="70" quotePrefix="1">
      <alignment horizontal="center" vertical="center"/>
    </xf>
    <xf numFmtId="0" fontId="2" fillId="0" borderId="3" xfId="72" quotePrefix="1" applyAlignment="1">
      <alignment horizontal="left" vertical="center"/>
    </xf>
    <xf numFmtId="0" fontId="2" fillId="0" borderId="3" xfId="72" quotePrefix="1" applyAlignment="1">
      <alignment horizontal="left" vertical="center" indent="1"/>
    </xf>
    <xf numFmtId="0" fontId="3" fillId="0" borderId="2" xfId="44"/>
    <xf numFmtId="0" fontId="3" fillId="0" borderId="2" xfId="28">
      <alignment horizontal="right" vertical="center"/>
    </xf>
    <xf numFmtId="0" fontId="12" fillId="0" borderId="0" xfId="0" applyFont="1"/>
    <xf numFmtId="0" fontId="3" fillId="0" borderId="2" xfId="44" quotePrefix="1"/>
    <xf numFmtId="3" fontId="1" fillId="0" borderId="2" xfId="43" applyFont="1"/>
    <xf numFmtId="165" fontId="12" fillId="0" borderId="0" xfId="0" quotePrefix="1" applyNumberFormat="1" applyFont="1" applyAlignment="1"/>
    <xf numFmtId="49" fontId="12" fillId="0" borderId="0" xfId="0" quotePrefix="1" applyNumberFormat="1" applyFont="1" applyAlignment="1"/>
    <xf numFmtId="166" fontId="12" fillId="0" borderId="0" xfId="0" quotePrefix="1" applyNumberFormat="1" applyFont="1" applyAlignment="1"/>
    <xf numFmtId="165" fontId="12" fillId="0" borderId="0" xfId="0" quotePrefix="1" applyNumberFormat="1" applyFont="1" applyAlignment="1">
      <alignment horizontal="left" indent="1"/>
    </xf>
    <xf numFmtId="0" fontId="2" fillId="0" borderId="4" xfId="41" quotePrefix="1">
      <alignment horizontal="center" vertical="center"/>
    </xf>
    <xf numFmtId="0" fontId="2" fillId="0" borderId="3" xfId="51" quotePrefix="1">
      <alignment horizontal="left" vertical="center"/>
    </xf>
    <xf numFmtId="0" fontId="3" fillId="0" borderId="2" xfId="44" applyFill="1"/>
    <xf numFmtId="0" fontId="3" fillId="0" borderId="0" xfId="27" quotePrefix="1" applyBorder="1" applyAlignment="1"/>
    <xf numFmtId="0" fontId="3" fillId="0" borderId="0" xfId="26" applyBorder="1" applyAlignment="1">
      <alignment horizontal="left"/>
    </xf>
    <xf numFmtId="0" fontId="0" fillId="0" borderId="0" xfId="0" applyBorder="1"/>
    <xf numFmtId="0" fontId="3" fillId="0" borderId="0" xfId="27" applyBorder="1" applyAlignment="1"/>
    <xf numFmtId="0" fontId="11" fillId="0" borderId="0" xfId="0" applyFont="1" applyBorder="1" applyAlignment="1">
      <alignment horizontal="left"/>
    </xf>
    <xf numFmtId="0" fontId="3" fillId="0" borderId="0" xfId="27" quotePrefix="1" applyBorder="1"/>
    <xf numFmtId="0" fontId="3" fillId="0" borderId="0" xfId="26" applyBorder="1"/>
    <xf numFmtId="0" fontId="3" fillId="0" borderId="0" xfId="27" applyBorder="1"/>
    <xf numFmtId="0" fontId="3" fillId="0" borderId="0" xfId="26" quotePrefix="1" applyBorder="1"/>
    <xf numFmtId="0" fontId="3" fillId="0" borderId="0" xfId="44" applyBorder="1"/>
    <xf numFmtId="0" fontId="3" fillId="0" borderId="0" xfId="44" quotePrefix="1" applyBorder="1"/>
    <xf numFmtId="0" fontId="3" fillId="0" borderId="0" xfId="28" applyBorder="1">
      <alignment horizontal="right" vertical="center"/>
    </xf>
    <xf numFmtId="0" fontId="12" fillId="0" borderId="0" xfId="0" applyFont="1" applyBorder="1"/>
    <xf numFmtId="0" fontId="3" fillId="0" borderId="15" xfId="44" applyBorder="1"/>
    <xf numFmtId="49" fontId="2" fillId="0" borderId="7" xfId="32" applyNumberFormat="1" applyBorder="1">
      <alignment horizontal="center" vertical="center"/>
    </xf>
    <xf numFmtId="49" fontId="2" fillId="0" borderId="8" xfId="32" applyNumberFormat="1" applyBorder="1">
      <alignment horizontal="center" vertical="center"/>
    </xf>
    <xf numFmtId="49" fontId="2" fillId="0" borderId="9" xfId="32" applyNumberFormat="1" applyBorder="1">
      <alignment horizontal="center" vertical="center"/>
    </xf>
    <xf numFmtId="0" fontId="3" fillId="0" borderId="10" xfId="61" applyBorder="1" applyAlignment="1">
      <alignment horizontal="center" vertical="center"/>
    </xf>
    <xf numFmtId="0" fontId="3" fillId="0" borderId="11" xfId="61" applyBorder="1" applyAlignment="1">
      <alignment horizontal="center" vertical="center"/>
    </xf>
    <xf numFmtId="0" fontId="3" fillId="0" borderId="12" xfId="61" applyBorder="1" applyAlignment="1">
      <alignment horizontal="center" vertical="center"/>
    </xf>
    <xf numFmtId="0" fontId="3" fillId="0" borderId="13" xfId="61" applyBorder="1" applyAlignment="1">
      <alignment horizontal="center" vertical="center"/>
    </xf>
    <xf numFmtId="0" fontId="2" fillId="0" borderId="15" xfId="72" applyBorder="1" applyAlignment="1">
      <alignment horizontal="left" vertical="center"/>
    </xf>
    <xf numFmtId="0" fontId="2" fillId="0" borderId="16" xfId="72" applyBorder="1" applyAlignment="1">
      <alignment horizontal="left" vertical="center"/>
    </xf>
    <xf numFmtId="0" fontId="2" fillId="0" borderId="12" xfId="72" applyBorder="1" applyAlignment="1">
      <alignment horizontal="left" vertical="center"/>
    </xf>
    <xf numFmtId="0" fontId="2" fillId="0" borderId="14" xfId="72" applyBorder="1" applyAlignment="1">
      <alignment horizontal="left" vertical="center"/>
    </xf>
    <xf numFmtId="0" fontId="13" fillId="0" borderId="0" xfId="0" applyFont="1" applyAlignment="1">
      <alignment horizontal="left" indent="2"/>
    </xf>
    <xf numFmtId="0" fontId="13" fillId="0" borderId="0" xfId="0" quotePrefix="1" applyFont="1" applyAlignment="1">
      <alignment horizontal="left" indent="2"/>
    </xf>
    <xf numFmtId="0" fontId="13" fillId="4" borderId="0" xfId="0" applyFont="1" applyFill="1" applyAlignment="1">
      <alignment horizontal="left" indent="2"/>
    </xf>
  </cellXfs>
  <cellStyles count="74">
    <cellStyle name="AF Column - IBM Cognos" xfId="1" xr:uid="{F3FB5075-46FF-436F-BBAF-C466578F1B1E}"/>
    <cellStyle name="AF Data - IBM Cognos" xfId="2" xr:uid="{E68DCAB5-B4BF-4E85-B53F-51E7EECBE5B7}"/>
    <cellStyle name="AF Data 0 - IBM Cognos" xfId="3" xr:uid="{E72BEED1-A005-4F78-A77C-32680A03E001}"/>
    <cellStyle name="AF Data 1 - IBM Cognos" xfId="4" xr:uid="{12068AC7-B605-4E7E-8965-D4A7A2F24258}"/>
    <cellStyle name="AF Data 2 - IBM Cognos" xfId="5" xr:uid="{1A406CB7-7860-4B38-A002-0F0514413531}"/>
    <cellStyle name="AF Data 3 - IBM Cognos" xfId="6" xr:uid="{BB845935-A057-4AC7-8EA8-2DE8F3D0128E}"/>
    <cellStyle name="AF Data 4 - IBM Cognos" xfId="7" xr:uid="{AF9F02DC-44E5-49BA-A469-28AA933D6BB1}"/>
    <cellStyle name="AF Data 5 - IBM Cognos" xfId="8" xr:uid="{8538595B-1A80-43C9-A492-1093FAED95EA}"/>
    <cellStyle name="AF Data Leaf - IBM Cognos" xfId="9" xr:uid="{B4514935-FD5C-4DD1-9B77-39B5C3A0C584}"/>
    <cellStyle name="AF Header - IBM Cognos" xfId="10" xr:uid="{4B95822E-552D-47FB-88EC-C82189E45B48}"/>
    <cellStyle name="AF Header 0 - IBM Cognos" xfId="11" xr:uid="{CF0A7750-9440-4D90-9395-C2CE41B86523}"/>
    <cellStyle name="AF Header 1 - IBM Cognos" xfId="12" xr:uid="{C9F09984-86F3-4493-9DE0-F0896E9DC47B}"/>
    <cellStyle name="AF Header 2 - IBM Cognos" xfId="13" xr:uid="{1906DEB8-2423-4061-893D-3850440DD4AF}"/>
    <cellStyle name="AF Header 3 - IBM Cognos" xfId="14" xr:uid="{AB7F96AB-BCFE-45C5-9A3B-77590C64B7F3}"/>
    <cellStyle name="AF Header 4 - IBM Cognos" xfId="15" xr:uid="{0FFABFD2-7624-437D-B1E7-A87544BFD46E}"/>
    <cellStyle name="AF Header 5 - IBM Cognos" xfId="16" xr:uid="{AC34EF67-DF82-453D-A623-F2482ABDDA65}"/>
    <cellStyle name="AF Header Leaf - IBM Cognos" xfId="17" xr:uid="{6F9870D7-0C8B-4191-81CA-47B2CBF4F9C0}"/>
    <cellStyle name="AF Row - IBM Cognos" xfId="18" xr:uid="{68D08395-4D6B-453C-82C8-DFCEA7615D74}"/>
    <cellStyle name="AF Row 0 - IBM Cognos" xfId="19" xr:uid="{C6D7539F-2368-460F-A9ED-9A3E4DEFB251}"/>
    <cellStyle name="AF Row 1 - IBM Cognos" xfId="20" xr:uid="{D0212B94-2CA9-4A14-AF0F-53453496B68A}"/>
    <cellStyle name="AF Row 2 - IBM Cognos" xfId="21" xr:uid="{194FFD4A-4410-4C38-8552-8D41BBEC28FB}"/>
    <cellStyle name="AF Row 3 - IBM Cognos" xfId="22" xr:uid="{82CD9884-F6FC-4823-8765-0201D5078A97}"/>
    <cellStyle name="AF Row 4 - IBM Cognos" xfId="23" xr:uid="{5D8D31CB-E10A-4A27-A163-9D906D9399BE}"/>
    <cellStyle name="AF Row 5 - IBM Cognos" xfId="24" xr:uid="{3178B739-E8AA-4C60-8DC9-C1469DE4236F}"/>
    <cellStyle name="AF Row Leaf - IBM Cognos" xfId="25" xr:uid="{E8D045B7-560E-4251-99D3-09E3619F8A27}"/>
    <cellStyle name="AF Subnm - IBM Cognos" xfId="26" xr:uid="{E90E13BE-C636-490C-A130-DB4A6DFFFB6F}"/>
    <cellStyle name="AF Title - IBM Cognos" xfId="27" xr:uid="{7A4EA88C-FCAD-4774-B822-D09F72CCFCEA}"/>
    <cellStyle name="Calculated Column - IBM Cognos" xfId="28" xr:uid="{620D0856-8922-47ED-ABFB-828FD8692DE4}"/>
    <cellStyle name="Calculated Column Name - IBM Cognos" xfId="29" xr:uid="{95CB0C98-E151-4388-B68D-808B039650AB}"/>
    <cellStyle name="Calculated Row - IBM Cognos" xfId="30" xr:uid="{231DF1DD-47EF-47D5-92A8-F15ADC273A3F}"/>
    <cellStyle name="Calculated Row Name - IBM Cognos" xfId="31" xr:uid="{AACC7D82-E4B6-45D1-BBFE-B7B85E529592}"/>
    <cellStyle name="Column Name - IBM Cognos" xfId="32" xr:uid="{D7305AF0-95DE-4175-AB07-9634BA143C32}"/>
    <cellStyle name="Column Template - IBM Cognos" xfId="33" xr:uid="{A12A1B58-B8C2-4336-BE58-CC4B71DCF053}"/>
    <cellStyle name="Differs From Base - IBM Cognos" xfId="34" xr:uid="{5F52B2C9-7ECC-4998-8D71-347B723CD4F4}"/>
    <cellStyle name="DQR Column 0 - IBM Cognos" xfId="35" xr:uid="{FB4FEDFC-69BC-4C95-B574-DD07121881BD}"/>
    <cellStyle name="DQR Column 1 - IBM Cognos" xfId="36" xr:uid="{E6267270-487D-47AB-8FAB-54F235ADCFA1}"/>
    <cellStyle name="DQR Column 2 - IBM Cognos" xfId="37" xr:uid="{C6E4976F-B772-472E-A5C8-241868B7FA7E}"/>
    <cellStyle name="DQR Column 3 - IBM Cognos" xfId="38" xr:uid="{71A2F1AC-CBC8-4D83-A381-7ECD248FE6A8}"/>
    <cellStyle name="DQR Column 4 - IBM Cognos" xfId="39" xr:uid="{FF762DF5-D060-4FA7-86F8-BCEC5978ED76}"/>
    <cellStyle name="DQR Column 5 - IBM Cognos" xfId="40" xr:uid="{27F25908-5031-4A78-B73D-5DE089F9B844}"/>
    <cellStyle name="DQR Column Default - IBM Cognos" xfId="41" xr:uid="{F66343F6-8DD5-4D3A-997C-CBEA3ADEDEB9}"/>
    <cellStyle name="DQR Column Leaf - IBM Cognos" xfId="42" xr:uid="{8DB5A147-FFD4-4815-9EA0-D59ECDA4225F}"/>
    <cellStyle name="DQR Data Default - IBM Cognos" xfId="43" xr:uid="{A78E2F57-DC8F-4B4A-B9E3-185EE88F8330}"/>
    <cellStyle name="DQR Default - IBM Cognos" xfId="44" xr:uid="{C01C1EB2-7804-4FE6-8645-D348332B737E}"/>
    <cellStyle name="DQR Row 0 - IBM Cognos" xfId="45" xr:uid="{03367696-81EB-4DE7-841B-F937139E4A2E}"/>
    <cellStyle name="DQR Row 1 - IBM Cognos" xfId="46" xr:uid="{549C42D0-2D7C-47DA-A3DD-5B89CEF6F75C}"/>
    <cellStyle name="DQR Row 2 - IBM Cognos" xfId="47" xr:uid="{149A1D72-9DD6-4958-B7D1-90797DA6F1FA}"/>
    <cellStyle name="DQR Row 3 - IBM Cognos" xfId="48" xr:uid="{BEFBFB44-C8C0-4D4E-9A73-01BC2CEF8442}"/>
    <cellStyle name="DQR Row 4 - IBM Cognos" xfId="49" xr:uid="{DE7E5CD1-6D4D-46F5-B7BF-851F7E3C3341}"/>
    <cellStyle name="DQR Row 5 - IBM Cognos" xfId="50" xr:uid="{B17F0338-DBD5-4AEF-A2FF-78CD0315BD91}"/>
    <cellStyle name="DQR Row Default - IBM Cognos" xfId="51" xr:uid="{578B2B87-6B09-4B05-A03B-AEBE36A51BA6}"/>
    <cellStyle name="DQR Row Leaf - IBM Cognos" xfId="52" xr:uid="{4382CD08-6814-4DED-A4ED-3A82C66D3C81}"/>
    <cellStyle name="Edit - IBM Cognos" xfId="53" xr:uid="{3448AE64-AE50-4DE8-A511-A1BAEEC41C08}"/>
    <cellStyle name="Formula - IBM Cognos" xfId="54" xr:uid="{A09E3457-8E37-424F-A928-0A0C747A7E53}"/>
    <cellStyle name="Group Name - IBM Cognos" xfId="55" xr:uid="{C14589EE-C169-4388-9428-EA66EE739C12}"/>
    <cellStyle name="Hold Values - IBM Cognos" xfId="56" xr:uid="{C894E664-2DE7-430A-A3CF-8D5E8FBDC07B}"/>
    <cellStyle name="List Name - IBM Cognos" xfId="57" xr:uid="{50ED250E-BB35-43C9-A35B-86F99B6E8D57}"/>
    <cellStyle name="Locked - IBM Cognos" xfId="58" xr:uid="{930E3F35-2DA5-4F99-9D71-3B4595BF2CCB}"/>
    <cellStyle name="Measure - IBM Cognos" xfId="59" xr:uid="{082C6BD3-D0BE-4E94-B226-24BA45D0196C}"/>
    <cellStyle name="Measure Header - IBM Cognos" xfId="60" xr:uid="{3DD772FF-237E-45FD-B883-B06925C1E118}"/>
    <cellStyle name="Measure Name - IBM Cognos" xfId="61" xr:uid="{4E15960A-589C-42CE-A9D9-1D22B8F69ADA}"/>
    <cellStyle name="Measure Summary - IBM Cognos" xfId="62" xr:uid="{4B5FC29B-D0B9-4B4F-B095-5431EACFEEC9}"/>
    <cellStyle name="Measure Summary TM1 - IBM Cognos" xfId="63" xr:uid="{8A90C498-A5A5-43C2-8F5C-2214B18EA359}"/>
    <cellStyle name="Measure Template - IBM Cognos" xfId="64" xr:uid="{6378B370-7676-4682-B17C-64BF02478A80}"/>
    <cellStyle name="More - IBM Cognos" xfId="65" xr:uid="{2BF3B2DA-89FD-4F0F-9281-EC04A2835A61}"/>
    <cellStyle name="Normal" xfId="0" builtinId="0" customBuiltin="1"/>
    <cellStyle name="Pending Change - IBM Cognos" xfId="66" xr:uid="{D69257BB-38A3-4531-8097-54E0AFEC2F3D}"/>
    <cellStyle name="Row Name - IBM Cognos" xfId="67" xr:uid="{1A7434D6-1734-4F57-873F-3F6DC3E0E53A}"/>
    <cellStyle name="Row Template - IBM Cognos" xfId="68" xr:uid="{49EAB2C8-4E38-4FA6-BDE1-3CD83A353297}"/>
    <cellStyle name="Summary Column Name - IBM Cognos" xfId="69" xr:uid="{D1BFC89B-2044-4DBA-AF54-FFF30E129D2D}"/>
    <cellStyle name="Summary Column Name TM1 - IBM Cognos" xfId="70" xr:uid="{6971D9F8-340D-4011-AC1E-61F23BC281AE}"/>
    <cellStyle name="Summary Row Name - IBM Cognos" xfId="71" xr:uid="{3E8017E2-3D17-4699-90D9-F7B9AA1DAE1B}"/>
    <cellStyle name="Summary Row Name TM1 - IBM Cognos" xfId="72" xr:uid="{D19F82E7-CD58-4864-BD06-B0E1E21A4AA0}"/>
    <cellStyle name="Unsaved Change - IBM Cognos" xfId="73" xr:uid="{830783DB-5F3B-4535-8522-5DF26FCCC833}"/>
  </cellStyles>
  <dxfs count="54"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165D8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u val="none"/>
        <color rgb="FFFFFFFF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39</xdr:row>
      <xdr:rowOff>0</xdr:rowOff>
    </xdr:from>
    <xdr:to>
      <xdr:col>9</xdr:col>
      <xdr:colOff>739140</xdr:colOff>
      <xdr:row>41</xdr:row>
      <xdr:rowOff>91440</xdr:rowOff>
    </xdr:to>
    <xdr:sp macro="Feuil8.ExecuteAction_47cc88ed_4121_4819_ac0b_691c54648b85" textlink="">
      <xdr:nvSpPr>
        <xdr:cNvPr id="3" name="TM1Button_47cc88ed_4121_4819_ac0b_691c54648b85">
          <a:extLst>
            <a:ext uri="{FF2B5EF4-FFF2-40B4-BE49-F238E27FC236}">
              <a16:creationId xmlns:a16="http://schemas.microsoft.com/office/drawing/2014/main" id="{7F26F010-857E-8B3D-3183-EB92B5D8BA76}"/>
            </a:ext>
          </a:extLst>
        </xdr:cNvPr>
        <xdr:cNvSpPr txBox="1"/>
      </xdr:nvSpPr>
      <xdr:spPr>
        <a:xfrm>
          <a:off x="3230880" y="548640"/>
          <a:ext cx="1531620" cy="45720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fr-FR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Send</a:t>
          </a:r>
          <a:r>
            <a:rPr lang="fr-FR" sz="10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 value to cube</a:t>
          </a:r>
          <a:endParaRPr lang="fr-FR" sz="1000" b="0" i="0" u="none" strike="noStrike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4" Type="http://schemas.openxmlformats.org/officeDocument/2006/relationships/customProperty" Target="../customProperty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12.bin"/><Relationship Id="rId13" Type="http://schemas.openxmlformats.org/officeDocument/2006/relationships/customProperty" Target="../customProperty17.bin"/><Relationship Id="rId18" Type="http://schemas.openxmlformats.org/officeDocument/2006/relationships/customProperty" Target="../customProperty22.bin"/><Relationship Id="rId3" Type="http://schemas.openxmlformats.org/officeDocument/2006/relationships/customProperty" Target="../customProperty7.bin"/><Relationship Id="rId21" Type="http://schemas.openxmlformats.org/officeDocument/2006/relationships/customProperty" Target="../customProperty25.bin"/><Relationship Id="rId7" Type="http://schemas.openxmlformats.org/officeDocument/2006/relationships/customProperty" Target="../customProperty11.bin"/><Relationship Id="rId12" Type="http://schemas.openxmlformats.org/officeDocument/2006/relationships/customProperty" Target="../customProperty16.bin"/><Relationship Id="rId17" Type="http://schemas.openxmlformats.org/officeDocument/2006/relationships/customProperty" Target="../customProperty21.bin"/><Relationship Id="rId2" Type="http://schemas.openxmlformats.org/officeDocument/2006/relationships/customProperty" Target="../customProperty6.bin"/><Relationship Id="rId16" Type="http://schemas.openxmlformats.org/officeDocument/2006/relationships/customProperty" Target="../customProperty20.bin"/><Relationship Id="rId20" Type="http://schemas.openxmlformats.org/officeDocument/2006/relationships/customProperty" Target="../customProperty24.bin"/><Relationship Id="rId1" Type="http://schemas.openxmlformats.org/officeDocument/2006/relationships/customProperty" Target="../customProperty5.bin"/><Relationship Id="rId6" Type="http://schemas.openxmlformats.org/officeDocument/2006/relationships/customProperty" Target="../customProperty10.bin"/><Relationship Id="rId11" Type="http://schemas.openxmlformats.org/officeDocument/2006/relationships/customProperty" Target="../customProperty15.bin"/><Relationship Id="rId5" Type="http://schemas.openxmlformats.org/officeDocument/2006/relationships/customProperty" Target="../customProperty9.bin"/><Relationship Id="rId15" Type="http://schemas.openxmlformats.org/officeDocument/2006/relationships/customProperty" Target="../customProperty19.bin"/><Relationship Id="rId10" Type="http://schemas.openxmlformats.org/officeDocument/2006/relationships/customProperty" Target="../customProperty14.bin"/><Relationship Id="rId19" Type="http://schemas.openxmlformats.org/officeDocument/2006/relationships/customProperty" Target="../customProperty23.bin"/><Relationship Id="rId4" Type="http://schemas.openxmlformats.org/officeDocument/2006/relationships/customProperty" Target="../customProperty8.bin"/><Relationship Id="rId9" Type="http://schemas.openxmlformats.org/officeDocument/2006/relationships/customProperty" Target="../customProperty13.bin"/><Relationship Id="rId14" Type="http://schemas.openxmlformats.org/officeDocument/2006/relationships/customProperty" Target="../customProperty1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openxmlformats.org/officeDocument/2006/relationships/customProperty" Target="../customProperty2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89891-99D7-4F52-8D2C-B5B48AF41D1E}">
  <sheetPr codeName="Feuil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  <headerFooter>
    <oddFooter>&amp;C_x000D_&amp;1#&amp;"arial"&amp;9&amp;K008000 C1 - Internal use</oddFooter>
  </headerFooter>
  <customProperties>
    <customPr name="CafeStyleVersion" r:id="rId1"/>
    <customPr name="LastTupleSet_0" r:id="rId2"/>
    <customPr name="LastTupleSet_COR_MapAnnotations" r:id="rId3"/>
    <customPr name="LastTupleSet_COR_Mappings" r:id="rId4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224A-0D94-4F39-B19D-466456A45DB4}">
  <sheetPr codeName="Feuil2">
    <tabColor rgb="FF808080"/>
  </sheetPr>
  <dimension ref="B3:M18"/>
  <sheetViews>
    <sheetView showGridLines="0" tabSelected="1" workbookViewId="0"/>
  </sheetViews>
  <sheetFormatPr baseColWidth="10" defaultRowHeight="14.4" outlineLevelRow="1" x14ac:dyDescent="0.3"/>
  <cols>
    <col min="1" max="1" width="2.77734375" customWidth="1"/>
    <col min="2" max="2" width="19.6640625" customWidth="1"/>
    <col min="3" max="3" width="16.88671875" bestFit="1" customWidth="1"/>
    <col min="4" max="4" width="10.88671875" bestFit="1" customWidth="1"/>
    <col min="5" max="8" width="9.88671875" bestFit="1" customWidth="1"/>
    <col min="9" max="9" width="10.88671875" bestFit="1" customWidth="1"/>
    <col min="10" max="13" width="9.88671875" bestFit="1" customWidth="1"/>
  </cols>
  <sheetData>
    <row r="3" spans="2:13" hidden="1" outlineLevel="1" x14ac:dyDescent="0.3">
      <c r="B3" s="81" t="s">
        <v>12</v>
      </c>
      <c r="C3" s="79" t="s">
        <v>13</v>
      </c>
    </row>
    <row r="4" spans="2:13" hidden="1" outlineLevel="1" x14ac:dyDescent="0.3">
      <c r="B4" s="81" t="s">
        <v>14</v>
      </c>
      <c r="C4" s="79" t="s">
        <v>15</v>
      </c>
    </row>
    <row r="5" spans="2:13" hidden="1" outlineLevel="1" x14ac:dyDescent="0.3">
      <c r="B5" s="81" t="s">
        <v>16</v>
      </c>
      <c r="C5" s="80" t="s">
        <v>98</v>
      </c>
    </row>
    <row r="6" spans="2:13" hidden="1" outlineLevel="1" x14ac:dyDescent="0.3">
      <c r="B6" s="81" t="s">
        <v>17</v>
      </c>
      <c r="C6" s="80" t="s">
        <v>99</v>
      </c>
    </row>
    <row r="7" spans="2:13" hidden="1" outlineLevel="1" x14ac:dyDescent="0.3">
      <c r="B7" s="81" t="s">
        <v>18</v>
      </c>
      <c r="C7" s="79" t="s">
        <v>19</v>
      </c>
    </row>
    <row r="8" spans="2:13" hidden="1" outlineLevel="1" x14ac:dyDescent="0.3">
      <c r="B8" s="81" t="s">
        <v>20</v>
      </c>
      <c r="C8" s="79" t="s">
        <v>21</v>
      </c>
    </row>
    <row r="9" spans="2:13" hidden="1" outlineLevel="1" x14ac:dyDescent="0.3">
      <c r="B9" s="81" t="s">
        <v>22</v>
      </c>
      <c r="C9" s="79" t="s">
        <v>23</v>
      </c>
    </row>
    <row r="10" spans="2:13" hidden="1" outlineLevel="1" x14ac:dyDescent="0.3">
      <c r="B10" s="81" t="s">
        <v>24</v>
      </c>
      <c r="C10" s="79"/>
    </row>
    <row r="11" spans="2:13" hidden="1" outlineLevel="1" x14ac:dyDescent="0.3">
      <c r="B11" s="81" t="s">
        <v>25</v>
      </c>
      <c r="C11" s="79"/>
    </row>
    <row r="12" spans="2:13" hidden="1" outlineLevel="1" x14ac:dyDescent="0.3"/>
    <row r="13" spans="2:13" ht="15" collapsed="1" thickBot="1" x14ac:dyDescent="0.35">
      <c r="B13" s="71"/>
      <c r="C13" s="72"/>
      <c r="D13" s="68" t="s">
        <v>0</v>
      </c>
      <c r="E13" s="69"/>
      <c r="F13" s="69"/>
      <c r="G13" s="69"/>
      <c r="H13" s="70"/>
      <c r="I13" s="68" t="s">
        <v>1</v>
      </c>
      <c r="J13" s="69"/>
      <c r="K13" s="69"/>
      <c r="L13" s="69"/>
      <c r="M13" s="70"/>
    </row>
    <row r="14" spans="2:13" ht="15" thickBot="1" x14ac:dyDescent="0.35">
      <c r="B14" s="73"/>
      <c r="C14" s="74"/>
      <c r="D14" s="3" t="s">
        <v>2</v>
      </c>
      <c r="E14" s="3" t="s">
        <v>3</v>
      </c>
      <c r="F14" s="3" t="s">
        <v>4</v>
      </c>
      <c r="G14" s="3" t="s">
        <v>5</v>
      </c>
      <c r="H14" s="3" t="s">
        <v>6</v>
      </c>
      <c r="I14" s="3" t="s">
        <v>2</v>
      </c>
      <c r="J14" s="3" t="s">
        <v>3</v>
      </c>
      <c r="K14" s="3" t="s">
        <v>4</v>
      </c>
      <c r="L14" s="3" t="s">
        <v>5</v>
      </c>
      <c r="M14" s="3" t="s">
        <v>6</v>
      </c>
    </row>
    <row r="15" spans="2:13" x14ac:dyDescent="0.3">
      <c r="B15" s="6" t="s">
        <v>7</v>
      </c>
      <c r="C15" s="5" t="s">
        <v>8</v>
      </c>
      <c r="D15" s="4">
        <v>206587115.07999998</v>
      </c>
      <c r="E15" s="4">
        <v>49894994.609999992</v>
      </c>
      <c r="F15" s="4">
        <v>51966012.140000008</v>
      </c>
      <c r="G15" s="4">
        <v>52675024.940000013</v>
      </c>
      <c r="H15" s="4">
        <v>52051083.390000008</v>
      </c>
      <c r="I15" s="4">
        <v>207947799.16000015</v>
      </c>
      <c r="J15" s="4">
        <v>50780156.760000005</v>
      </c>
      <c r="K15" s="4">
        <v>52123752.220000014</v>
      </c>
      <c r="L15" s="4">
        <v>52834738.680000007</v>
      </c>
      <c r="M15" s="4">
        <v>52209151.500000015</v>
      </c>
    </row>
    <row r="16" spans="2:13" x14ac:dyDescent="0.3">
      <c r="B16" s="6" t="s">
        <v>9</v>
      </c>
      <c r="C16" s="5" t="s">
        <v>8</v>
      </c>
      <c r="D16" s="4">
        <v>65632643.625</v>
      </c>
      <c r="E16" s="4">
        <v>15855098.25</v>
      </c>
      <c r="F16" s="4">
        <v>16745295.375</v>
      </c>
      <c r="G16" s="4">
        <v>16517713.125</v>
      </c>
      <c r="H16" s="4">
        <v>16514536.875</v>
      </c>
      <c r="I16" s="4">
        <v>1756584.2099999993</v>
      </c>
      <c r="J16" s="4">
        <v>424344.14999999997</v>
      </c>
      <c r="K16" s="4">
        <v>448168.15999999992</v>
      </c>
      <c r="L16" s="4">
        <v>442084.39000000007</v>
      </c>
      <c r="M16" s="4">
        <v>441987.51000000013</v>
      </c>
    </row>
    <row r="17" spans="2:13" x14ac:dyDescent="0.3">
      <c r="B17" s="6" t="s">
        <v>10</v>
      </c>
      <c r="C17" s="5" t="s">
        <v>8</v>
      </c>
      <c r="D17" s="4">
        <v>60989299.543120563</v>
      </c>
      <c r="E17" s="4">
        <v>15324280.694281993</v>
      </c>
      <c r="F17" s="4">
        <v>15244886.133864257</v>
      </c>
      <c r="G17" s="4">
        <v>15301150.733429253</v>
      </c>
      <c r="H17" s="4">
        <v>15118981.98154499</v>
      </c>
      <c r="I17" s="4">
        <v>61195487.208856232</v>
      </c>
      <c r="J17" s="4">
        <v>15370206.436570538</v>
      </c>
      <c r="K17" s="4">
        <v>15298386.710136939</v>
      </c>
      <c r="L17" s="4">
        <v>15354847.70636748</v>
      </c>
      <c r="M17" s="4">
        <v>15172046.355781147</v>
      </c>
    </row>
    <row r="18" spans="2:13" x14ac:dyDescent="0.3">
      <c r="B18" s="5" t="s">
        <v>11</v>
      </c>
      <c r="C18" s="5" t="s">
        <v>8</v>
      </c>
      <c r="D18" s="4">
        <v>79965171.911879599</v>
      </c>
      <c r="E18" s="4">
        <v>18715615.665718008</v>
      </c>
      <c r="F18" s="4">
        <v>19975830.631135777</v>
      </c>
      <c r="G18" s="4">
        <v>20856161.081570756</v>
      </c>
      <c r="H18" s="4">
        <v>20417564.533454996</v>
      </c>
      <c r="I18" s="4">
        <v>144995727.74114421</v>
      </c>
      <c r="J18" s="4">
        <v>34985606.173429482</v>
      </c>
      <c r="K18" s="4">
        <v>36377197.349863008</v>
      </c>
      <c r="L18" s="4">
        <v>37037806.583632506</v>
      </c>
      <c r="M18" s="4">
        <v>36595117.634218805</v>
      </c>
    </row>
  </sheetData>
  <mergeCells count="3">
    <mergeCell ref="D13:H13"/>
    <mergeCell ref="I13:M13"/>
    <mergeCell ref="B13:C14"/>
  </mergeCells>
  <pageMargins left="0.7" right="0.7" top="0.75" bottom="0.75" header="0.3" footer="0.3"/>
  <headerFooter>
    <oddFooter>&amp;C_x000D_&amp;1#&amp;"arial"&amp;9&amp;K008000 C1 - Internal use</oddFooter>
  </headerFooter>
  <customProperties>
    <customPr name="###COLSTART###" r:id="rId1"/>
    <customPr name="###DATECREATED###" r:id="rId2"/>
    <customPr name="###LASTCOLSTART###" r:id="rId3"/>
    <customPr name="###LASTROWSTART###" r:id="rId4"/>
    <customPr name="###MOREALL###" r:id="rId5"/>
    <customPr name="###ROWSTART###" r:id="rId6"/>
    <customPr name="###UNCOMMITTEDCHANGES###" r:id="rId7"/>
    <customPr name="###WORKSHEETCLEARED###" r:id="rId8"/>
    <customPr name="COR_DataSourceDriver" r:id="rId9"/>
    <customPr name="COR_DefaultExpandDirection" r:id="rId10"/>
    <customPr name="COR_ExplorationBounds" r:id="rId11"/>
    <customPr name="COR_GroupingOption" r:id="rId12"/>
    <customPr name="COR_LastLabelRowStart" r:id="rId13"/>
    <customPr name="COR_LastRequestFormat" r:id="rId14"/>
    <customPr name="COR_PackageSearchPath" r:id="rId15"/>
    <customPr name="COR_Report" r:id="rId16"/>
    <customPr name="COR_RequestFormat" r:id="rId17"/>
    <customPr name="COR_ResultSet" r:id="rId18"/>
    <customPr name="COR_Server" r:id="rId19"/>
    <customPr name="COR_SHEET_TYPE" r:id="rId20"/>
    <customPr name="COR_STATE" r:id="rId2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7A375-6BEF-43A2-AB0F-0003B59DDFE6}">
  <sheetPr codeName="Feuil3"/>
  <dimension ref="A1:L15"/>
  <sheetViews>
    <sheetView showGridLines="0" workbookViewId="0">
      <selection activeCell="B2" sqref="B2"/>
    </sheetView>
  </sheetViews>
  <sheetFormatPr baseColWidth="10" defaultRowHeight="14.4" x14ac:dyDescent="0.3"/>
  <cols>
    <col min="1" max="1" width="19.6640625" bestFit="1" customWidth="1"/>
    <col min="2" max="2" width="21.44140625" customWidth="1"/>
    <col min="3" max="7" width="13.77734375" bestFit="1" customWidth="1"/>
    <col min="8" max="12" width="14.77734375" bestFit="1" customWidth="1"/>
  </cols>
  <sheetData>
    <row r="1" spans="1:12" x14ac:dyDescent="0.3">
      <c r="A1" s="61" t="s">
        <v>26</v>
      </c>
      <c r="B1" s="61" t="str">
        <f>Datasource</f>
        <v>https://oa-pa-users.planning-analytics.cloud.ibm.com/</v>
      </c>
      <c r="C1" s="56"/>
    </row>
    <row r="2" spans="1:12" x14ac:dyDescent="0.3">
      <c r="A2" s="61" t="s">
        <v>27</v>
      </c>
      <c r="B2" s="61" t="str">
        <f>Server</f>
        <v>Planning Sample</v>
      </c>
      <c r="C2" s="56"/>
    </row>
    <row r="3" spans="1:12" x14ac:dyDescent="0.3">
      <c r="A3" s="61" t="s">
        <v>28</v>
      </c>
      <c r="B3" s="61" t="s">
        <v>15</v>
      </c>
      <c r="C3" s="56"/>
    </row>
    <row r="4" spans="1:12" x14ac:dyDescent="0.3">
      <c r="A4" s="56"/>
      <c r="B4" s="56"/>
      <c r="C4" s="56"/>
    </row>
    <row r="5" spans="1:12" x14ac:dyDescent="0.3">
      <c r="A5" s="61"/>
      <c r="B5" s="60" t="s">
        <v>32</v>
      </c>
      <c r="C5" s="56"/>
    </row>
    <row r="6" spans="1:12" x14ac:dyDescent="0.3">
      <c r="A6" s="61" t="s">
        <v>29</v>
      </c>
      <c r="B6" s="62" t="s">
        <v>33</v>
      </c>
      <c r="C6" s="56"/>
    </row>
    <row r="7" spans="1:12" x14ac:dyDescent="0.3">
      <c r="A7" s="61" t="s">
        <v>30</v>
      </c>
      <c r="B7" s="62" t="s">
        <v>34</v>
      </c>
      <c r="C7" s="56"/>
    </row>
    <row r="8" spans="1:12" x14ac:dyDescent="0.3">
      <c r="A8" s="61" t="s">
        <v>31</v>
      </c>
      <c r="B8" s="62" t="s">
        <v>35</v>
      </c>
      <c r="C8" s="56"/>
    </row>
    <row r="10" spans="1:12" ht="15" thickBot="1" x14ac:dyDescent="0.35">
      <c r="A10" s="2"/>
      <c r="B10" s="2"/>
      <c r="C10" s="7" t="s">
        <v>0</v>
      </c>
      <c r="D10" s="7" t="s">
        <v>0</v>
      </c>
      <c r="E10" s="7" t="s">
        <v>0</v>
      </c>
      <c r="F10" s="7" t="s">
        <v>0</v>
      </c>
      <c r="G10" s="7" t="s">
        <v>0</v>
      </c>
      <c r="H10" s="7" t="s">
        <v>1</v>
      </c>
      <c r="I10" s="7" t="s">
        <v>1</v>
      </c>
      <c r="J10" s="7" t="s">
        <v>1</v>
      </c>
      <c r="K10" s="7" t="s">
        <v>1</v>
      </c>
      <c r="L10" s="7" t="s">
        <v>1</v>
      </c>
    </row>
    <row r="11" spans="1:12" ht="15" thickBot="1" x14ac:dyDescent="0.35">
      <c r="A11" s="2"/>
      <c r="B11" s="2"/>
      <c r="C11" s="7" t="s">
        <v>2</v>
      </c>
      <c r="D11" s="7" t="s">
        <v>3</v>
      </c>
      <c r="E11" s="7" t="s">
        <v>4</v>
      </c>
      <c r="F11" s="7" t="s">
        <v>5</v>
      </c>
      <c r="G11" s="7" t="s">
        <v>6</v>
      </c>
      <c r="H11" s="7" t="s">
        <v>2</v>
      </c>
      <c r="I11" s="7" t="s">
        <v>3</v>
      </c>
      <c r="J11" s="7" t="s">
        <v>4</v>
      </c>
      <c r="K11" s="7" t="s">
        <v>5</v>
      </c>
      <c r="L11" s="7" t="s">
        <v>6</v>
      </c>
    </row>
    <row r="12" spans="1:12" x14ac:dyDescent="0.3">
      <c r="A12" s="8" t="s">
        <v>7</v>
      </c>
      <c r="B12" s="9" t="s">
        <v>8</v>
      </c>
      <c r="C12" s="1">
        <v>206587115.07999998</v>
      </c>
      <c r="D12" s="1">
        <v>49894994.609999992</v>
      </c>
      <c r="E12" s="1">
        <v>51966012.140000008</v>
      </c>
      <c r="F12" s="1">
        <v>52675024.940000013</v>
      </c>
      <c r="G12" s="1">
        <v>52051083.390000008</v>
      </c>
      <c r="H12" s="1">
        <v>207947799.16000015</v>
      </c>
      <c r="I12" s="1">
        <v>50780156.760000005</v>
      </c>
      <c r="J12" s="1">
        <v>52123752.220000014</v>
      </c>
      <c r="K12" s="1">
        <v>52834738.680000007</v>
      </c>
      <c r="L12" s="1">
        <v>52209151.500000015</v>
      </c>
    </row>
    <row r="13" spans="1:12" x14ac:dyDescent="0.3">
      <c r="A13" s="8" t="s">
        <v>9</v>
      </c>
      <c r="B13" s="9" t="s">
        <v>8</v>
      </c>
      <c r="C13" s="1">
        <v>65632643.625</v>
      </c>
      <c r="D13" s="1">
        <v>15855098.25</v>
      </c>
      <c r="E13" s="1">
        <v>16745295.375</v>
      </c>
      <c r="F13" s="1">
        <v>16517713.125</v>
      </c>
      <c r="G13" s="1">
        <v>16514536.875</v>
      </c>
      <c r="H13" s="1">
        <v>1756584.2099999993</v>
      </c>
      <c r="I13" s="1">
        <v>424344.14999999997</v>
      </c>
      <c r="J13" s="1">
        <v>448168.15999999992</v>
      </c>
      <c r="K13" s="1">
        <v>442084.39</v>
      </c>
      <c r="L13" s="1">
        <v>441987.51000000013</v>
      </c>
    </row>
    <row r="14" spans="1:12" x14ac:dyDescent="0.3">
      <c r="A14" s="8" t="s">
        <v>10</v>
      </c>
      <c r="B14" s="9" t="s">
        <v>8</v>
      </c>
      <c r="C14" s="1">
        <v>60989299.543120563</v>
      </c>
      <c r="D14" s="1">
        <v>15324280.694281993</v>
      </c>
      <c r="E14" s="1">
        <v>15244886.133864257</v>
      </c>
      <c r="F14" s="1">
        <v>15301150.733429253</v>
      </c>
      <c r="G14" s="1">
        <v>15118981.98154499</v>
      </c>
      <c r="H14" s="1">
        <v>61195487.208856232</v>
      </c>
      <c r="I14" s="1">
        <v>15370206.436570538</v>
      </c>
      <c r="J14" s="1">
        <v>15298386.710136939</v>
      </c>
      <c r="K14" s="1">
        <v>15354847.70636748</v>
      </c>
      <c r="L14" s="1">
        <v>15172046.355781147</v>
      </c>
    </row>
    <row r="15" spans="1:12" x14ac:dyDescent="0.3">
      <c r="A15" s="9" t="s">
        <v>11</v>
      </c>
      <c r="B15" s="9" t="s">
        <v>8</v>
      </c>
      <c r="C15" s="1">
        <v>79965171.911879599</v>
      </c>
      <c r="D15" s="1">
        <v>18715615.665718008</v>
      </c>
      <c r="E15" s="1">
        <v>19975830.631135777</v>
      </c>
      <c r="F15" s="1">
        <v>20856161.081570756</v>
      </c>
      <c r="G15" s="1">
        <v>20417564.533454996</v>
      </c>
      <c r="H15" s="1">
        <v>144995727.74114421</v>
      </c>
      <c r="I15" s="1">
        <v>34985606.173429482</v>
      </c>
      <c r="J15" s="1">
        <v>36377197.349863008</v>
      </c>
      <c r="K15" s="1">
        <v>37037806.583632506</v>
      </c>
      <c r="L15" s="1">
        <v>36595117.634218805</v>
      </c>
    </row>
  </sheetData>
  <pageMargins left="0.7" right="0.7" top="0.75" bottom="0.75" header="0.3" footer="0.3"/>
  <headerFooter>
    <oddFooter>&amp;C_x000D_&amp;1#&amp;"arial"&amp;9&amp;K008000 C1 - Internal use</oddFooter>
  </headerFooter>
  <customProperties>
    <customPr name="COR_MapSheets" r:id="rId1"/>
    <customPr name="Serialized_Sheet_Mapping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B742-CE7E-4241-AAF5-E5CE984B70D9}">
  <sheetPr codeName="Feuil4"/>
  <dimension ref="A1:M24"/>
  <sheetViews>
    <sheetView showGridLines="0" topLeftCell="B13" workbookViewId="0">
      <selection activeCell="B12" sqref="B12"/>
    </sheetView>
  </sheetViews>
  <sheetFormatPr baseColWidth="10" defaultRowHeight="14.4" outlineLevelRow="1" outlineLevelCol="1" x14ac:dyDescent="0.3"/>
  <cols>
    <col min="1" max="1" width="25.77734375" hidden="1" customWidth="1" outlineLevel="1"/>
    <col min="2" max="2" width="25.77734375" customWidth="1" collapsed="1"/>
    <col min="3" max="3" width="25.77734375" customWidth="1"/>
    <col min="4" max="8" width="13.77734375" bestFit="1" customWidth="1"/>
    <col min="9" max="13" width="14.77734375" bestFit="1" customWidth="1"/>
  </cols>
  <sheetData>
    <row r="1" spans="1:13" ht="15" hidden="1" outlineLevel="1" thickBot="1" x14ac:dyDescent="0.35">
      <c r="A1" s="10" t="s">
        <v>36</v>
      </c>
    </row>
    <row r="2" spans="1:13" s="11" customFormat="1" ht="15" hidden="1" outlineLevel="1" thickBot="1" x14ac:dyDescent="0.35">
      <c r="A2" s="11">
        <v>0</v>
      </c>
      <c r="B2" s="12" t="s">
        <v>40</v>
      </c>
      <c r="C2" s="12" t="s">
        <v>40</v>
      </c>
      <c r="D2" s="13">
        <v>123.456789</v>
      </c>
      <c r="E2" s="13">
        <v>123.456789</v>
      </c>
      <c r="F2" s="13">
        <v>123.456789</v>
      </c>
      <c r="G2" s="13">
        <v>123.456789</v>
      </c>
      <c r="H2" s="13">
        <v>123.456789</v>
      </c>
      <c r="I2" s="13">
        <v>123.456789</v>
      </c>
      <c r="J2" s="13">
        <v>123.456789</v>
      </c>
      <c r="K2" s="13">
        <v>123.456789</v>
      </c>
      <c r="L2" s="13">
        <v>123.456789</v>
      </c>
      <c r="M2" s="13">
        <v>123.456789</v>
      </c>
    </row>
    <row r="3" spans="1:13" s="14" customFormat="1" ht="15" hidden="1" outlineLevel="1" thickBot="1" x14ac:dyDescent="0.35">
      <c r="A3" s="14">
        <v>1</v>
      </c>
      <c r="B3" s="15" t="s">
        <v>40</v>
      </c>
      <c r="C3" s="15" t="s">
        <v>40</v>
      </c>
      <c r="D3" s="16">
        <v>123.456789</v>
      </c>
      <c r="E3" s="16">
        <v>123.456789</v>
      </c>
      <c r="F3" s="16">
        <v>123.456789</v>
      </c>
      <c r="G3" s="16">
        <v>123.456789</v>
      </c>
      <c r="H3" s="16">
        <v>123.456789</v>
      </c>
      <c r="I3" s="16">
        <v>123.456789</v>
      </c>
      <c r="J3" s="16">
        <v>123.456789</v>
      </c>
      <c r="K3" s="16">
        <v>123.456789</v>
      </c>
      <c r="L3" s="16">
        <v>123.456789</v>
      </c>
      <c r="M3" s="16">
        <v>123.456789</v>
      </c>
    </row>
    <row r="4" spans="1:13" s="17" customFormat="1" ht="15" hidden="1" outlineLevel="1" thickBot="1" x14ac:dyDescent="0.35">
      <c r="A4" s="17">
        <v>2</v>
      </c>
      <c r="B4" s="18" t="s">
        <v>40</v>
      </c>
      <c r="C4" s="18" t="s">
        <v>40</v>
      </c>
      <c r="D4" s="19">
        <v>123.456789</v>
      </c>
      <c r="E4" s="19">
        <v>123.456789</v>
      </c>
      <c r="F4" s="19">
        <v>123.456789</v>
      </c>
      <c r="G4" s="19">
        <v>123.456789</v>
      </c>
      <c r="H4" s="19">
        <v>123.456789</v>
      </c>
      <c r="I4" s="19">
        <v>123.456789</v>
      </c>
      <c r="J4" s="19">
        <v>123.456789</v>
      </c>
      <c r="K4" s="19">
        <v>123.456789</v>
      </c>
      <c r="L4" s="19">
        <v>123.456789</v>
      </c>
      <c r="M4" s="19">
        <v>123.456789</v>
      </c>
    </row>
    <row r="5" spans="1:13" s="20" customFormat="1" ht="15" hidden="1" outlineLevel="1" thickBot="1" x14ac:dyDescent="0.35">
      <c r="A5" s="20">
        <v>3</v>
      </c>
      <c r="B5" s="21" t="s">
        <v>40</v>
      </c>
      <c r="C5" s="21" t="s">
        <v>40</v>
      </c>
      <c r="D5" s="22">
        <v>123.456789</v>
      </c>
      <c r="E5" s="22">
        <v>123.456789</v>
      </c>
      <c r="F5" s="22">
        <v>123.456789</v>
      </c>
      <c r="G5" s="22">
        <v>123.456789</v>
      </c>
      <c r="H5" s="22">
        <v>123.456789</v>
      </c>
      <c r="I5" s="22">
        <v>123.456789</v>
      </c>
      <c r="J5" s="22">
        <v>123.456789</v>
      </c>
      <c r="K5" s="22">
        <v>123.456789</v>
      </c>
      <c r="L5" s="22">
        <v>123.456789</v>
      </c>
      <c r="M5" s="22">
        <v>123.456789</v>
      </c>
    </row>
    <row r="6" spans="1:13" s="23" customFormat="1" ht="15" hidden="1" outlineLevel="1" thickBot="1" x14ac:dyDescent="0.35">
      <c r="A6" s="23">
        <v>4</v>
      </c>
      <c r="B6" s="24" t="s">
        <v>40</v>
      </c>
      <c r="C6" s="24" t="s">
        <v>40</v>
      </c>
      <c r="D6" s="25">
        <v>123.456789</v>
      </c>
      <c r="E6" s="25">
        <v>123.456789</v>
      </c>
      <c r="F6" s="25">
        <v>123.456789</v>
      </c>
      <c r="G6" s="25">
        <v>123.456789</v>
      </c>
      <c r="H6" s="25">
        <v>123.456789</v>
      </c>
      <c r="I6" s="25">
        <v>123.456789</v>
      </c>
      <c r="J6" s="25">
        <v>123.456789</v>
      </c>
      <c r="K6" s="25">
        <v>123.456789</v>
      </c>
      <c r="L6" s="25">
        <v>123.456789</v>
      </c>
      <c r="M6" s="25">
        <v>123.456789</v>
      </c>
    </row>
    <row r="7" spans="1:13" s="26" customFormat="1" ht="15" hidden="1" outlineLevel="1" thickBot="1" x14ac:dyDescent="0.35">
      <c r="A7" s="26">
        <v>5</v>
      </c>
      <c r="B7" s="27" t="s">
        <v>40</v>
      </c>
      <c r="C7" s="27" t="s">
        <v>40</v>
      </c>
      <c r="D7" s="28">
        <v>123.456789</v>
      </c>
      <c r="E7" s="28">
        <v>123.456789</v>
      </c>
      <c r="F7" s="28">
        <v>123.456789</v>
      </c>
      <c r="G7" s="28">
        <v>123.456789</v>
      </c>
      <c r="H7" s="28">
        <v>123.456789</v>
      </c>
      <c r="I7" s="28">
        <v>123.456789</v>
      </c>
      <c r="J7" s="28">
        <v>123.456789</v>
      </c>
      <c r="K7" s="28">
        <v>123.456789</v>
      </c>
      <c r="L7" s="28">
        <v>123.456789</v>
      </c>
      <c r="M7" s="28">
        <v>123.456789</v>
      </c>
    </row>
    <row r="8" spans="1:13" s="30" customFormat="1" ht="15" hidden="1" outlineLevel="1" thickBot="1" x14ac:dyDescent="0.35">
      <c r="A8" s="29" t="s">
        <v>37</v>
      </c>
      <c r="B8" s="31" t="s">
        <v>40</v>
      </c>
      <c r="C8" s="31" t="s">
        <v>40</v>
      </c>
      <c r="D8" s="32">
        <v>123.456789</v>
      </c>
      <c r="E8" s="32">
        <v>123.456789</v>
      </c>
      <c r="F8" s="32">
        <v>123.456789</v>
      </c>
      <c r="G8" s="32">
        <v>123.456789</v>
      </c>
      <c r="H8" s="32">
        <v>123.456789</v>
      </c>
      <c r="I8" s="32">
        <v>123.456789</v>
      </c>
      <c r="J8" s="32">
        <v>123.456789</v>
      </c>
      <c r="K8" s="32">
        <v>123.456789</v>
      </c>
      <c r="L8" s="32">
        <v>123.456789</v>
      </c>
      <c r="M8" s="32">
        <v>123.456789</v>
      </c>
    </row>
    <row r="9" spans="1:13" s="34" customFormat="1" ht="15" hidden="1" outlineLevel="1" thickBot="1" x14ac:dyDescent="0.35">
      <c r="A9" s="33" t="s">
        <v>38</v>
      </c>
      <c r="B9" s="35" t="s">
        <v>40</v>
      </c>
      <c r="C9" s="35" t="s">
        <v>40</v>
      </c>
      <c r="D9" s="36">
        <v>123.456789</v>
      </c>
      <c r="E9" s="36">
        <v>123.456789</v>
      </c>
      <c r="F9" s="36">
        <v>123.456789</v>
      </c>
      <c r="G9" s="36">
        <v>123.456789</v>
      </c>
      <c r="H9" s="36">
        <v>123.456789</v>
      </c>
      <c r="I9" s="36">
        <v>123.456789</v>
      </c>
      <c r="J9" s="36">
        <v>123.456789</v>
      </c>
      <c r="K9" s="36">
        <v>123.456789</v>
      </c>
      <c r="L9" s="36">
        <v>123.456789</v>
      </c>
      <c r="M9" s="36">
        <v>123.456789</v>
      </c>
    </row>
    <row r="10" spans="1:13" hidden="1" outlineLevel="1" x14ac:dyDescent="0.3">
      <c r="A10" s="10" t="s">
        <v>39</v>
      </c>
    </row>
    <row r="11" spans="1:13" hidden="1" outlineLevel="1" x14ac:dyDescent="0.3">
      <c r="B11" s="10" t="s">
        <v>41</v>
      </c>
      <c r="C11" s="10" t="s">
        <v>42</v>
      </c>
    </row>
    <row r="12" spans="1:13" hidden="1" outlineLevel="1" x14ac:dyDescent="0.3">
      <c r="B12" t="str">
        <f>_xll.TM1RPTVIEW(Server&amp;":plan_BudgetPlan:62360598",1,_xll.TM1RPTTITLE(Server&amp;":plan_department",$C$14),_xll.TM1RPTTITLE(Server&amp;":plan_exchange_rates",$C$15),_xll.TM1RPTTITLE(Server&amp;":plan_source",$C$16),TM1RPTFMTRNG62360598,TM1RPTFMTIDCOL62360598)</f>
        <v>Planning Sample:plan_BudgetPlan:62360598</v>
      </c>
    </row>
    <row r="13" spans="1:13" collapsed="1" x14ac:dyDescent="0.3"/>
    <row r="14" spans="1:13" x14ac:dyDescent="0.3">
      <c r="B14" s="59" t="s">
        <v>29</v>
      </c>
      <c r="C14" s="60" t="str">
        <f>_xll.SUBNM(Server&amp;":plan_department","All Departments","Total Organization","Department")</f>
        <v>Total Organization</v>
      </c>
    </row>
    <row r="15" spans="1:13" x14ac:dyDescent="0.3">
      <c r="B15" s="59" t="s">
        <v>30</v>
      </c>
      <c r="C15" s="60" t="str">
        <f>_xll.SUBNM(Server&amp;":plan_exchange_rates","local exchange rate","local")</f>
        <v>local</v>
      </c>
    </row>
    <row r="16" spans="1:13" x14ac:dyDescent="0.3">
      <c r="B16" s="59" t="s">
        <v>31</v>
      </c>
      <c r="C16" s="60" t="str">
        <f>_xll.SUBNM(Server&amp;":plan_source","input","input")</f>
        <v>input</v>
      </c>
    </row>
    <row r="18" spans="1:13" ht="15" thickBot="1" x14ac:dyDescent="0.35"/>
    <row r="19" spans="1:13" ht="15" thickBot="1" x14ac:dyDescent="0.35">
      <c r="D19" s="37" t="s">
        <v>0</v>
      </c>
      <c r="E19" s="37" t="s">
        <v>0</v>
      </c>
      <c r="F19" s="37" t="s">
        <v>0</v>
      </c>
      <c r="G19" s="37" t="s">
        <v>0</v>
      </c>
      <c r="H19" s="37" t="s">
        <v>0</v>
      </c>
      <c r="I19" s="37" t="s">
        <v>1</v>
      </c>
      <c r="J19" s="37" t="s">
        <v>1</v>
      </c>
      <c r="K19" s="37" t="s">
        <v>1</v>
      </c>
      <c r="L19" s="37" t="s">
        <v>1</v>
      </c>
      <c r="M19" s="37" t="s">
        <v>1</v>
      </c>
    </row>
    <row r="20" spans="1:13" ht="15" thickBot="1" x14ac:dyDescent="0.35">
      <c r="D20" s="37" t="s">
        <v>2</v>
      </c>
      <c r="E20" s="37" t="s">
        <v>3</v>
      </c>
      <c r="F20" s="37" t="s">
        <v>4</v>
      </c>
      <c r="G20" s="37" t="s">
        <v>5</v>
      </c>
      <c r="H20" s="37" t="s">
        <v>6</v>
      </c>
      <c r="I20" s="37" t="s">
        <v>2</v>
      </c>
      <c r="J20" s="37" t="s">
        <v>3</v>
      </c>
      <c r="K20" s="37" t="s">
        <v>4</v>
      </c>
      <c r="L20" s="37" t="s">
        <v>5</v>
      </c>
      <c r="M20" s="37" t="s">
        <v>6</v>
      </c>
    </row>
    <row r="21" spans="1:13" s="11" customFormat="1" ht="15" outlineLevel="1" thickBot="1" x14ac:dyDescent="0.35">
      <c r="A21" s="11">
        <f>IF(_xll.TM1RPTELISCONSOLIDATED($C$21,$C21),IF(_xll.TM1RPTELLEV($C$21,$C21)&lt;=5,_xll.TM1RPTELLEV($C$21,$C21),"Default"),"Leaf")</f>
        <v>0</v>
      </c>
      <c r="B21" s="38" t="str">
        <f>_xll.TM1RPTROW($B$12,Server&amp;":plan_chart_of_accounts",,,"AccountName",FALSE,B$11)</f>
        <v>Revenue</v>
      </c>
      <c r="C21" s="38" t="str">
        <f>_xll.TM1RPTROW($B$12,Server&amp;":plan_business_unit",,,"BusinessUnit",FALSE,C$11)</f>
        <v>Total Business Unit</v>
      </c>
      <c r="D21" s="13">
        <f>_xll.DBRW($B$12,D$19,$C21,$C$14,$B21,$C$15,$C$16,D$20)</f>
        <v>206587115.08000004</v>
      </c>
      <c r="E21" s="13">
        <f>_xll.DBRW($B$12,E$19,$C21,$C$14,$B21,$C$15,$C$16,E$20)</f>
        <v>49894994.609999999</v>
      </c>
      <c r="F21" s="13">
        <f>_xll.DBRW($B$12,F$19,$C21,$C$14,$B21,$C$15,$C$16,F$20)</f>
        <v>51966012.140000001</v>
      </c>
      <c r="G21" s="13">
        <f>_xll.DBRW($B$12,G$19,$C21,$C$14,$B21,$C$15,$C$16,G$20)</f>
        <v>52675024.940000005</v>
      </c>
      <c r="H21" s="13">
        <f>_xll.DBRW($B$12,H$19,$C21,$C$14,$B21,$C$15,$C$16,H$20)</f>
        <v>52051083.390000008</v>
      </c>
      <c r="I21" s="13">
        <f>_xll.DBRW($B$12,I$19,$C21,$C$14,$B21,$C$15,$C$16,I$20)</f>
        <v>207947799.15999997</v>
      </c>
      <c r="J21" s="13">
        <f>_xll.DBRW($B$12,J$19,$C21,$C$14,$B21,$C$15,$C$16,J$20)</f>
        <v>50780156.759999998</v>
      </c>
      <c r="K21" s="13">
        <f>_xll.DBRW($B$12,K$19,$C21,$C$14,$B21,$C$15,$C$16,K$20)</f>
        <v>52123752.220000014</v>
      </c>
      <c r="L21" s="13">
        <f>_xll.DBRW($B$12,L$19,$C21,$C$14,$B21,$C$15,$C$16,L$20)</f>
        <v>52834738.68</v>
      </c>
      <c r="M21" s="13">
        <f>_xll.DBRW($B$12,M$19,$C21,$C$14,$B21,$C$15,$C$16,M$20)</f>
        <v>52209151.499999993</v>
      </c>
    </row>
    <row r="22" spans="1:13" s="11" customFormat="1" ht="15" outlineLevel="1" thickBot="1" x14ac:dyDescent="0.35">
      <c r="A22" s="11">
        <f>IF(_xll.TM1RPTELISCONSOLIDATED($C$21,$C22),IF(_xll.TM1RPTELLEV($C$21,$C22)&lt;=5,_xll.TM1RPTELLEV($C$21,$C22),"Default"),"Leaf")</f>
        <v>0</v>
      </c>
      <c r="B22" s="38" t="s">
        <v>9</v>
      </c>
      <c r="C22" s="38" t="s">
        <v>8</v>
      </c>
      <c r="D22" s="13">
        <f>_xll.DBRW($B$12,D$19,$C22,$C$14,$B22,$C$15,$C$16,D$20)</f>
        <v>65632643.625</v>
      </c>
      <c r="E22" s="13">
        <f>_xll.DBRW($B$12,E$19,$C22,$C$14,$B22,$C$15,$C$16,E$20)</f>
        <v>15855098.25</v>
      </c>
      <c r="F22" s="13">
        <f>_xll.DBRW($B$12,F$19,$C22,$C$14,$B22,$C$15,$C$16,F$20)</f>
        <v>16745295.375</v>
      </c>
      <c r="G22" s="13">
        <f>_xll.DBRW($B$12,G$19,$C22,$C$14,$B22,$C$15,$C$16,G$20)</f>
        <v>16517713.125</v>
      </c>
      <c r="H22" s="13">
        <f>_xll.DBRW($B$12,H$19,$C22,$C$14,$B22,$C$15,$C$16,H$20)</f>
        <v>16514536.875</v>
      </c>
      <c r="I22" s="13">
        <f>_xll.DBRW($B$12,I$19,$C22,$C$14,$B22,$C$15,$C$16,I$20)</f>
        <v>1756584.21</v>
      </c>
      <c r="J22" s="13">
        <f>_xll.DBRW($B$12,J$19,$C22,$C$14,$B22,$C$15,$C$16,J$20)</f>
        <v>424344.14999999997</v>
      </c>
      <c r="K22" s="13">
        <f>_xll.DBRW($B$12,K$19,$C22,$C$14,$B22,$C$15,$C$16,K$20)</f>
        <v>448168.16000000003</v>
      </c>
      <c r="L22" s="13">
        <f>_xll.DBRW($B$12,L$19,$C22,$C$14,$B22,$C$15,$C$16,L$20)</f>
        <v>442084.39000000007</v>
      </c>
      <c r="M22" s="13">
        <f>_xll.DBRW($B$12,M$19,$C22,$C$14,$B22,$C$15,$C$16,M$20)</f>
        <v>441987.51</v>
      </c>
    </row>
    <row r="23" spans="1:13" s="11" customFormat="1" ht="15" outlineLevel="1" thickBot="1" x14ac:dyDescent="0.35">
      <c r="A23" s="11">
        <f>IF(_xll.TM1RPTELISCONSOLIDATED($C$21,$C23),IF(_xll.TM1RPTELLEV($C$21,$C23)&lt;=5,_xll.TM1RPTELLEV($C$21,$C23),"Default"),"Leaf")</f>
        <v>0</v>
      </c>
      <c r="B23" s="38" t="s">
        <v>10</v>
      </c>
      <c r="C23" s="38" t="s">
        <v>8</v>
      </c>
      <c r="D23" s="13">
        <f>_xll.DBRW($B$12,D$19,$C23,$C$14,$B23,$C$15,$C$16,D$20)</f>
        <v>60989299.543120407</v>
      </c>
      <c r="E23" s="13">
        <f>_xll.DBRW($B$12,E$19,$C23,$C$14,$B23,$C$15,$C$16,E$20)</f>
        <v>15324280.694282005</v>
      </c>
      <c r="F23" s="13">
        <f>_xll.DBRW($B$12,F$19,$C23,$C$14,$B23,$C$15,$C$16,F$20)</f>
        <v>15244886.13386425</v>
      </c>
      <c r="G23" s="13">
        <f>_xll.DBRW($B$12,G$19,$C23,$C$14,$B23,$C$15,$C$16,G$20)</f>
        <v>15301150.733429249</v>
      </c>
      <c r="H23" s="13">
        <f>_xll.DBRW($B$12,H$19,$C23,$C$14,$B23,$C$15,$C$16,H$20)</f>
        <v>15118981.981545005</v>
      </c>
      <c r="I23" s="13">
        <f>_xll.DBRW($B$12,I$19,$C23,$C$14,$B23,$C$15,$C$16,I$20)</f>
        <v>61195487.208856151</v>
      </c>
      <c r="J23" s="13">
        <f>_xll.DBRW($B$12,J$19,$C23,$C$14,$B23,$C$15,$C$16,J$20)</f>
        <v>15370206.436570542</v>
      </c>
      <c r="K23" s="13">
        <f>_xll.DBRW($B$12,K$19,$C23,$C$14,$B23,$C$15,$C$16,K$20)</f>
        <v>15298386.710136954</v>
      </c>
      <c r="L23" s="13">
        <f>_xll.DBRW($B$12,L$19,$C23,$C$14,$B23,$C$15,$C$16,L$20)</f>
        <v>15354847.706367495</v>
      </c>
      <c r="M23" s="13">
        <f>_xll.DBRW($B$12,M$19,$C23,$C$14,$B23,$C$15,$C$16,M$20)</f>
        <v>15172046.355781153</v>
      </c>
    </row>
    <row r="24" spans="1:13" s="11" customFormat="1" ht="15" outlineLevel="1" thickBot="1" x14ac:dyDescent="0.35">
      <c r="A24" s="11">
        <f>IF(_xll.TM1RPTELISCONSOLIDATED($C$21,$C24),IF(_xll.TM1RPTELLEV($C$21,$C24)&lt;=5,_xll.TM1RPTELLEV($C$21,$C24),"Default"),"Leaf")</f>
        <v>0</v>
      </c>
      <c r="B24" s="38" t="s">
        <v>11</v>
      </c>
      <c r="C24" s="38" t="s">
        <v>8</v>
      </c>
      <c r="D24" s="13">
        <f>_xll.DBRW($B$12,D$19,$C24,$C$14,$B24,$C$15,$C$16,D$20)</f>
        <v>79965171.911879614</v>
      </c>
      <c r="E24" s="13">
        <f>_xll.DBRW($B$12,E$19,$C24,$C$14,$B24,$C$15,$C$16,E$20)</f>
        <v>18715615.665718008</v>
      </c>
      <c r="F24" s="13">
        <f>_xll.DBRW($B$12,F$19,$C24,$C$14,$B24,$C$15,$C$16,F$20)</f>
        <v>19975830.631135736</v>
      </c>
      <c r="G24" s="13">
        <f>_xll.DBRW($B$12,G$19,$C24,$C$14,$B24,$C$15,$C$16,G$20)</f>
        <v>20856161.081570771</v>
      </c>
      <c r="H24" s="13">
        <f>_xll.DBRW($B$12,H$19,$C24,$C$14,$B24,$C$15,$C$16,H$20)</f>
        <v>20417564.533454981</v>
      </c>
      <c r="I24" s="13">
        <f>_xll.DBRW($B$12,I$19,$C24,$C$14,$B24,$C$15,$C$16,I$20)</f>
        <v>144995727.74114379</v>
      </c>
      <c r="J24" s="13">
        <f>_xll.DBRW($B$12,J$19,$C24,$C$14,$B24,$C$15,$C$16,J$20)</f>
        <v>34985606.173429474</v>
      </c>
      <c r="K24" s="13">
        <f>_xll.DBRW($B$12,K$19,$C24,$C$14,$B24,$C$15,$C$16,K$20)</f>
        <v>36377197.34986309</v>
      </c>
      <c r="L24" s="13">
        <f>_xll.DBRW($B$12,L$19,$C24,$C$14,$B24,$C$15,$C$16,L$20)</f>
        <v>37037806.583632462</v>
      </c>
      <c r="M24" s="13">
        <f>_xll.DBRW($B$12,M$19,$C24,$C$14,$B24,$C$15,$C$16,M$20)</f>
        <v>36595117.634218849</v>
      </c>
    </row>
  </sheetData>
  <pageMargins left="0.7" right="0.7" top="0.75" bottom="0.75" header="0.3" footer="0.3"/>
  <headerFooter>
    <oddFooter>&amp;C_x000D_&amp;1#&amp;"arial"&amp;9&amp;K008000 C1 -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D9B3C-D330-4F31-A43A-966687161737}">
  <sheetPr codeName="Feuil5"/>
  <dimension ref="A1:L11"/>
  <sheetViews>
    <sheetView showGridLines="0" workbookViewId="0">
      <selection activeCell="C8" sqref="C8"/>
    </sheetView>
  </sheetViews>
  <sheetFormatPr baseColWidth="10" defaultRowHeight="14.4" x14ac:dyDescent="0.3"/>
  <cols>
    <col min="1" max="1" width="30.21875" bestFit="1" customWidth="1"/>
    <col min="2" max="2" width="16.88671875" bestFit="1" customWidth="1"/>
    <col min="3" max="7" width="13.77734375" bestFit="1" customWidth="1"/>
    <col min="8" max="12" width="14.77734375" bestFit="1" customWidth="1"/>
  </cols>
  <sheetData>
    <row r="1" spans="1:12" x14ac:dyDescent="0.3">
      <c r="A1" s="57" t="str">
        <f>_xll.VIEW(Server&amp;":plan_BudgetPlan","!","!",$B$2,"!",$B$3,$B$4,"!")</f>
        <v>Planning Sample:plan_BudgetPlan</v>
      </c>
      <c r="B1" s="58"/>
    </row>
    <row r="2" spans="1:12" x14ac:dyDescent="0.3">
      <c r="A2" s="54" t="s">
        <v>29</v>
      </c>
      <c r="B2" s="55" t="str">
        <f>_xll.SUBNM(Server&amp;":plan_department","All Departments","Total Organization","Department")</f>
        <v>Total Organization</v>
      </c>
    </row>
    <row r="3" spans="1:12" x14ac:dyDescent="0.3">
      <c r="A3" s="54" t="s">
        <v>30</v>
      </c>
      <c r="B3" s="55" t="str">
        <f>_xll.SUBNM(Server&amp;":plan_exchange_rates","local exchange rate","local")</f>
        <v>local</v>
      </c>
    </row>
    <row r="4" spans="1:12" x14ac:dyDescent="0.3">
      <c r="A4" s="54" t="s">
        <v>31</v>
      </c>
      <c r="B4" s="55" t="str">
        <f>_xll.SUBNM(Server&amp;":plan_source","input","input")</f>
        <v>input</v>
      </c>
    </row>
    <row r="5" spans="1:12" x14ac:dyDescent="0.3">
      <c r="A5" s="56"/>
      <c r="B5" s="56"/>
    </row>
    <row r="6" spans="1:12" ht="15" thickBot="1" x14ac:dyDescent="0.35">
      <c r="A6" s="75"/>
      <c r="B6" s="76"/>
      <c r="C6" s="39" t="s">
        <v>0</v>
      </c>
      <c r="D6" s="39" t="s">
        <v>0</v>
      </c>
      <c r="E6" s="39" t="s">
        <v>0</v>
      </c>
      <c r="F6" s="39" t="s">
        <v>0</v>
      </c>
      <c r="G6" s="39" t="s">
        <v>0</v>
      </c>
      <c r="H6" s="39" t="s">
        <v>1</v>
      </c>
      <c r="I6" s="39" t="s">
        <v>1</v>
      </c>
      <c r="J6" s="39" t="s">
        <v>1</v>
      </c>
      <c r="K6" s="39" t="s">
        <v>1</v>
      </c>
      <c r="L6" s="39" t="s">
        <v>1</v>
      </c>
    </row>
    <row r="7" spans="1:12" ht="15" thickBot="1" x14ac:dyDescent="0.35">
      <c r="A7" s="77"/>
      <c r="B7" s="78"/>
      <c r="C7" s="39" t="s">
        <v>2</v>
      </c>
      <c r="D7" s="39" t="s">
        <v>3</v>
      </c>
      <c r="E7" s="39" t="s">
        <v>4</v>
      </c>
      <c r="F7" s="39" t="s">
        <v>5</v>
      </c>
      <c r="G7" s="39" t="s">
        <v>6</v>
      </c>
      <c r="H7" s="39" t="s">
        <v>2</v>
      </c>
      <c r="I7" s="39" t="s">
        <v>3</v>
      </c>
      <c r="J7" s="39" t="s">
        <v>4</v>
      </c>
      <c r="K7" s="39" t="s">
        <v>5</v>
      </c>
      <c r="L7" s="39" t="s">
        <v>6</v>
      </c>
    </row>
    <row r="8" spans="1:12" x14ac:dyDescent="0.3">
      <c r="A8" s="41" t="s">
        <v>7</v>
      </c>
      <c r="B8" s="40" t="s">
        <v>8</v>
      </c>
      <c r="C8" s="1">
        <f>_xll.DBRW($A$1,C$6,$B8,$B$2,$A8,$B$3,$B$4,C$7)</f>
        <v>206587115.07999998</v>
      </c>
      <c r="D8" s="1">
        <f>_xll.DBRW($A$1,D$6,$B8,$B$2,$A8,$B$3,$B$4,D$7)</f>
        <v>49894994.609999992</v>
      </c>
      <c r="E8" s="1">
        <f>_xll.DBRW($A$1,E$6,$B8,$B$2,$A8,$B$3,$B$4,E$7)</f>
        <v>51966012.140000008</v>
      </c>
      <c r="F8" s="1">
        <f>_xll.DBRW($A$1,F$6,$B8,$B$2,$A8,$B$3,$B$4,F$7)</f>
        <v>52675024.940000013</v>
      </c>
      <c r="G8" s="1">
        <f>_xll.DBRW($A$1,G$6,$B8,$B$2,$A8,$B$3,$B$4,G$7)</f>
        <v>52051083.390000008</v>
      </c>
      <c r="H8" s="1">
        <f>_xll.DBRW($A$1,H$6,$B8,$B$2,$A8,$B$3,$B$4,H$7)</f>
        <v>207947799.16000015</v>
      </c>
      <c r="I8" s="1">
        <f>_xll.DBRW($A$1,I$6,$B8,$B$2,$A8,$B$3,$B$4,I$7)</f>
        <v>50780156.760000005</v>
      </c>
      <c r="J8" s="1">
        <f>_xll.DBRW($A$1,J$6,$B8,$B$2,$A8,$B$3,$B$4,J$7)</f>
        <v>52123752.220000014</v>
      </c>
      <c r="K8" s="1">
        <f>_xll.DBRW($A$1,K$6,$B8,$B$2,$A8,$B$3,$B$4,K$7)</f>
        <v>52834738.680000007</v>
      </c>
      <c r="L8" s="1">
        <f>_xll.DBRW($A$1,L$6,$B8,$B$2,$A8,$B$3,$B$4,L$7)</f>
        <v>52209151.500000015</v>
      </c>
    </row>
    <row r="9" spans="1:12" x14ac:dyDescent="0.3">
      <c r="A9" s="41" t="s">
        <v>9</v>
      </c>
      <c r="B9" s="40" t="s">
        <v>8</v>
      </c>
      <c r="C9" s="1">
        <f>_xll.DBRW($A$1,C$6,$B9,$B$2,$A9,$B$3,$B$4,C$7)</f>
        <v>65632643.625</v>
      </c>
      <c r="D9" s="1">
        <f>_xll.DBRW($A$1,D$6,$B9,$B$2,$A9,$B$3,$B$4,D$7)</f>
        <v>15855098.25</v>
      </c>
      <c r="E9" s="1">
        <f>_xll.DBRW($A$1,E$6,$B9,$B$2,$A9,$B$3,$B$4,E$7)</f>
        <v>16745295.375</v>
      </c>
      <c r="F9" s="1">
        <f>_xll.DBRW($A$1,F$6,$B9,$B$2,$A9,$B$3,$B$4,F$7)</f>
        <v>16517713.125</v>
      </c>
      <c r="G9" s="1">
        <f>_xll.DBRW($A$1,G$6,$B9,$B$2,$A9,$B$3,$B$4,G$7)</f>
        <v>16514536.875</v>
      </c>
      <c r="H9" s="1">
        <f>_xll.DBRW($A$1,H$6,$B9,$B$2,$A9,$B$3,$B$4,H$7)</f>
        <v>1756584.2099999993</v>
      </c>
      <c r="I9" s="1">
        <f>_xll.DBRW($A$1,I$6,$B9,$B$2,$A9,$B$3,$B$4,I$7)</f>
        <v>424344.14999999997</v>
      </c>
      <c r="J9" s="1">
        <f>_xll.DBRW($A$1,J$6,$B9,$B$2,$A9,$B$3,$B$4,J$7)</f>
        <v>448168.15999999992</v>
      </c>
      <c r="K9" s="1">
        <f>_xll.DBRW($A$1,K$6,$B9,$B$2,$A9,$B$3,$B$4,K$7)</f>
        <v>442084.39000000007</v>
      </c>
      <c r="L9" s="1">
        <f>_xll.DBRW($A$1,L$6,$B9,$B$2,$A9,$B$3,$B$4,L$7)</f>
        <v>441987.51000000013</v>
      </c>
    </row>
    <row r="10" spans="1:12" x14ac:dyDescent="0.3">
      <c r="A10" s="41" t="s">
        <v>10</v>
      </c>
      <c r="B10" s="40" t="s">
        <v>8</v>
      </c>
      <c r="C10" s="1">
        <f>_xll.DBRW($A$1,C$6,$B10,$B$2,$A10,$B$3,$B$4,C$7)</f>
        <v>60989299.543120563</v>
      </c>
      <c r="D10" s="1">
        <f>_xll.DBRW($A$1,D$6,$B10,$B$2,$A10,$B$3,$B$4,D$7)</f>
        <v>15324280.694281993</v>
      </c>
      <c r="E10" s="1">
        <f>_xll.DBRW($A$1,E$6,$B10,$B$2,$A10,$B$3,$B$4,E$7)</f>
        <v>15244886.133864257</v>
      </c>
      <c r="F10" s="1">
        <f>_xll.DBRW($A$1,F$6,$B10,$B$2,$A10,$B$3,$B$4,F$7)</f>
        <v>15301150.733429253</v>
      </c>
      <c r="G10" s="1">
        <f>_xll.DBRW($A$1,G$6,$B10,$B$2,$A10,$B$3,$B$4,G$7)</f>
        <v>15118981.98154499</v>
      </c>
      <c r="H10" s="1">
        <f>_xll.DBRW($A$1,H$6,$B10,$B$2,$A10,$B$3,$B$4,H$7)</f>
        <v>61195487.208856232</v>
      </c>
      <c r="I10" s="1">
        <f>_xll.DBRW($A$1,I$6,$B10,$B$2,$A10,$B$3,$B$4,I$7)</f>
        <v>15370206.436570538</v>
      </c>
      <c r="J10" s="1">
        <f>_xll.DBRW($A$1,J$6,$B10,$B$2,$A10,$B$3,$B$4,J$7)</f>
        <v>15298386.710136939</v>
      </c>
      <c r="K10" s="1">
        <f>_xll.DBRW($A$1,K$6,$B10,$B$2,$A10,$B$3,$B$4,K$7)</f>
        <v>15354847.70636748</v>
      </c>
      <c r="L10" s="1">
        <f>_xll.DBRW($A$1,L$6,$B10,$B$2,$A10,$B$3,$B$4,L$7)</f>
        <v>15172046.355781147</v>
      </c>
    </row>
    <row r="11" spans="1:12" x14ac:dyDescent="0.3">
      <c r="A11" s="40" t="s">
        <v>11</v>
      </c>
      <c r="B11" s="40" t="s">
        <v>8</v>
      </c>
      <c r="C11" s="1">
        <f>_xll.DBRW($A$1,C$6,$B11,$B$2,$A11,$B$3,$B$4,C$7)</f>
        <v>79965171.911879599</v>
      </c>
      <c r="D11" s="1">
        <f>_xll.DBRW($A$1,D$6,$B11,$B$2,$A11,$B$3,$B$4,D$7)</f>
        <v>18715615.665718008</v>
      </c>
      <c r="E11" s="1">
        <f>_xll.DBRW($A$1,E$6,$B11,$B$2,$A11,$B$3,$B$4,E$7)</f>
        <v>19975830.631135777</v>
      </c>
      <c r="F11" s="1">
        <f>_xll.DBRW($A$1,F$6,$B11,$B$2,$A11,$B$3,$B$4,F$7)</f>
        <v>20856161.081570756</v>
      </c>
      <c r="G11" s="1">
        <f>_xll.DBRW($A$1,G$6,$B11,$B$2,$A11,$B$3,$B$4,G$7)</f>
        <v>20417564.533454996</v>
      </c>
      <c r="H11" s="1">
        <f>_xll.DBRW($A$1,H$6,$B11,$B$2,$A11,$B$3,$B$4,H$7)</f>
        <v>144995727.74114421</v>
      </c>
      <c r="I11" s="1">
        <f>_xll.DBRW($A$1,I$6,$B11,$B$2,$A11,$B$3,$B$4,I$7)</f>
        <v>34985606.173429482</v>
      </c>
      <c r="J11" s="1">
        <f>_xll.DBRW($A$1,J$6,$B11,$B$2,$A11,$B$3,$B$4,J$7)</f>
        <v>36377197.349863008</v>
      </c>
      <c r="K11" s="1">
        <f>_xll.DBRW($A$1,K$6,$B11,$B$2,$A11,$B$3,$B$4,K$7)</f>
        <v>37037806.583632506</v>
      </c>
      <c r="L11" s="1">
        <f>_xll.DBRW($A$1,L$6,$B11,$B$2,$A11,$B$3,$B$4,L$7)</f>
        <v>36595117.634218805</v>
      </c>
    </row>
  </sheetData>
  <mergeCells count="1">
    <mergeCell ref="A6:B7"/>
  </mergeCells>
  <pageMargins left="0.7" right="0.7" top="0.75" bottom="0.75" header="0.3" footer="0.3"/>
  <headerFooter>
    <oddFooter>&amp;C_x000D_&amp;1#&amp;"arial"&amp;9&amp;K008000 C1 - Internal use</oddFooter>
  </headerFooter>
  <customProperties>
    <customPr name="COR_LastLabelRowStart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1B7E9-F62C-4462-BB30-B4731E5B8E79}">
  <sheetPr codeName="Feuil6"/>
  <dimension ref="A1:O48"/>
  <sheetViews>
    <sheetView showGridLines="0" topLeftCell="D37" workbookViewId="0">
      <selection activeCell="B20" sqref="B20"/>
    </sheetView>
  </sheetViews>
  <sheetFormatPr baseColWidth="10" defaultRowHeight="14.4" outlineLevelRow="1" outlineLevelCol="1" x14ac:dyDescent="0.3"/>
  <cols>
    <col min="1" max="3" width="11.5546875" hidden="1" customWidth="1" outlineLevel="1"/>
    <col min="4" max="4" width="21.21875" customWidth="1" collapsed="1"/>
    <col min="5" max="5" width="30.77734375" customWidth="1"/>
    <col min="6" max="6" width="16.44140625" customWidth="1"/>
    <col min="7" max="10" width="13.77734375" customWidth="1"/>
    <col min="11" max="15" width="14.77734375" customWidth="1"/>
  </cols>
  <sheetData>
    <row r="1" spans="1:12" hidden="1" outlineLevel="1" x14ac:dyDescent="0.3">
      <c r="A1" s="63" t="s">
        <v>49</v>
      </c>
      <c r="B1" s="63" t="str">
        <f>Datasource</f>
        <v>https://oa-pa-users.planning-analytics.cloud.ibm.com/</v>
      </c>
      <c r="C1" s="63"/>
      <c r="D1" s="56"/>
      <c r="E1" s="56"/>
      <c r="F1" s="56"/>
      <c r="G1" s="56"/>
      <c r="H1" s="56"/>
      <c r="I1" s="56"/>
      <c r="J1" s="56"/>
      <c r="K1" s="56"/>
      <c r="L1" s="56"/>
    </row>
    <row r="2" spans="1:12" hidden="1" outlineLevel="1" x14ac:dyDescent="0.3">
      <c r="A2" s="63" t="s">
        <v>50</v>
      </c>
      <c r="B2" s="63" t="str">
        <f>Server</f>
        <v>Planning Sample</v>
      </c>
      <c r="C2" s="63"/>
      <c r="D2" s="56"/>
      <c r="E2" s="56"/>
      <c r="F2" s="56"/>
      <c r="G2" s="56"/>
      <c r="H2" s="56"/>
      <c r="I2" s="56"/>
      <c r="J2" s="56"/>
      <c r="K2" s="56"/>
      <c r="L2" s="56"/>
    </row>
    <row r="3" spans="1:12" hidden="1" outlineLevel="1" x14ac:dyDescent="0.3">
      <c r="A3" s="63" t="s">
        <v>51</v>
      </c>
      <c r="B3" s="63" t="b">
        <v>1</v>
      </c>
      <c r="C3" s="63"/>
      <c r="D3" s="56"/>
      <c r="E3" s="56"/>
      <c r="F3" s="56"/>
      <c r="G3" s="56"/>
      <c r="H3" s="56"/>
      <c r="I3" s="56"/>
      <c r="J3" s="56"/>
      <c r="K3" s="56"/>
      <c r="L3" s="56"/>
    </row>
    <row r="4" spans="1:12" hidden="1" outlineLevel="1" x14ac:dyDescent="0.3">
      <c r="A4" s="63" t="s">
        <v>52</v>
      </c>
      <c r="B4" s="63">
        <v>1</v>
      </c>
      <c r="C4" s="63"/>
      <c r="D4" s="56"/>
      <c r="E4" s="56"/>
      <c r="F4" s="56"/>
      <c r="G4" s="56"/>
      <c r="H4" s="56"/>
      <c r="I4" s="56"/>
      <c r="J4" s="56"/>
      <c r="K4" s="56"/>
      <c r="L4" s="56"/>
    </row>
    <row r="5" spans="1:12" hidden="1" outlineLevel="1" x14ac:dyDescent="0.3">
      <c r="A5" s="63" t="s">
        <v>53</v>
      </c>
      <c r="B5" s="63" t="str">
        <f>"{" &amp; $C$5 &amp; ", " &amp; _xll.MakeJSON("[plan_time].[plan_time]","Time") &amp; ", " &amp; _xll.MakeJSON("[plan_version].[plan_version]","VersionName") &amp; "}"</f>
        <v>{"[plan_chart_of_accounts].[plan_chart_of_accounts]" : "AccountName","[plan_business_unit].[plan_business_unit]" : "BusinessUnit", "[plan_time].[plan_time]" : "Time", "[plan_version].[plan_version]" : "VersionName"}</v>
      </c>
      <c r="C5" s="63" t="str">
        <f>_xll.ConcatStrings(",",$D$5:$E$5)</f>
        <v>"[plan_chart_of_accounts].[plan_chart_of_accounts]" : "AccountName","[plan_business_unit].[plan_business_unit]" : "BusinessUnit"</v>
      </c>
      <c r="D5" s="63" t="str">
        <f>_xll.ConcatStrings(",",$B$15:$C$15)</f>
        <v>"[plan_chart_of_accounts].[plan_chart_of_accounts]" : "AccountName","[plan_business_unit].[plan_business_unit]" : "BusinessUnit"</v>
      </c>
      <c r="E5" s="63" t="str">
        <f>_xll.ConcatStrings(",",$B$26:$B$26)</f>
        <v/>
      </c>
      <c r="F5" s="56"/>
      <c r="G5" s="56"/>
      <c r="H5" s="56"/>
      <c r="I5" s="56"/>
      <c r="J5" s="56"/>
      <c r="K5" s="56"/>
      <c r="L5" s="56"/>
    </row>
    <row r="6" spans="1:12" hidden="1" outlineLevel="1" x14ac:dyDescent="0.3">
      <c r="A6" s="63" t="s">
        <v>54</v>
      </c>
      <c r="B6" s="63" t="str">
        <f>"{" &amp; $C$6 &amp; ", " &amp; _xll.MakeJSON("[plan_time].[plan_time]","false") &amp; ", " &amp; _xll.MakeJSON("[plan_version].[plan_version]","false") &amp; "}"</f>
        <v>{"[plan_chart_of_accounts].[plan_chart_of_accounts]" : "false","[plan_business_unit].[plan_business_unit]" : "false", "[plan_time].[plan_time]" : "false", "[plan_version].[plan_version]" : "false"}</v>
      </c>
      <c r="C6" s="63" t="str">
        <f>_xll.ConcatStrings(",",$D$6:$E$6)</f>
        <v>"[plan_chart_of_accounts].[plan_chart_of_accounts]" : "false","[plan_business_unit].[plan_business_unit]" : "false"</v>
      </c>
      <c r="D6" s="63" t="str">
        <f>_xll.ConcatStrings(",",$B$16:$C$16)</f>
        <v>"[plan_chart_of_accounts].[plan_chart_of_accounts]" : "false","[plan_business_unit].[plan_business_unit]" : "false"</v>
      </c>
      <c r="E6" s="63" t="str">
        <f>_xll.ConcatStrings(",",$B$27:$B$27)</f>
        <v/>
      </c>
      <c r="F6" s="56"/>
      <c r="G6" s="56"/>
      <c r="H6" s="56"/>
      <c r="I6" s="56"/>
      <c r="J6" s="56"/>
      <c r="K6" s="56"/>
      <c r="L6" s="56"/>
    </row>
    <row r="7" spans="1:12" hidden="1" outlineLevel="1" x14ac:dyDescent="0.3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</row>
    <row r="8" spans="1:12" hidden="1" outlineLevel="1" x14ac:dyDescent="0.3">
      <c r="A8" s="63" t="s">
        <v>55</v>
      </c>
      <c r="B8" s="63" t="str">
        <f>_xll.MakeQuery($B$34,$C$30,$C$19,"plan_BudgetPlan",$B$32,"")</f>
        <v xml:space="preserve"> SELECT NON EMPTY TM1IGNORE_BADTUPLES {  { {[plan_version].[plan_version].[FY 2004 Budget],[plan_version].[plan_version].[FY 2004 Forecast]}*{DRILLDOWNMEMBER({[plan_time].[plan_time].[2004]} , {[plan_time].[plan_time].[2004]} , RECURSIVE)} }  }  ON 0,NON EMPTY TM1IGNORE_BADTUPLES {  {  { TM1SubsetToSet([plan_chart_of_accounts].[plan_chart_of_accounts],'yw5ci3kDAIASAAAQ') * TM1SubsetToSet([plan_business_unit].[plan_business_unit],'yw5ci3kDAIAUAAAQ') }  }  }  ON 1 FROM [plan_BudgetPlan] WHERE ([plan_department].[plan_department].[Total Organization],[plan_exchange_rates].[plan_exchange_rates].[local],[plan_source].[plan_source].[input])</v>
      </c>
      <c r="C8" s="63"/>
      <c r="D8" s="56"/>
      <c r="E8" s="56"/>
      <c r="F8" s="56"/>
      <c r="G8" s="56"/>
      <c r="H8" s="56"/>
      <c r="I8" s="56"/>
      <c r="J8" s="56"/>
      <c r="K8" s="56"/>
      <c r="L8" s="56"/>
    </row>
    <row r="9" spans="1:12" hidden="1" outlineLevel="1" x14ac:dyDescent="0.3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</row>
    <row r="10" spans="1:12" hidden="1" outlineLevel="1" x14ac:dyDescent="0.3">
      <c r="A10" s="63" t="s">
        <v>56</v>
      </c>
      <c r="B10" s="63" t="s">
        <v>57</v>
      </c>
      <c r="C10" s="63" t="s">
        <v>58</v>
      </c>
      <c r="D10" s="56"/>
      <c r="E10" s="56"/>
      <c r="F10" s="56"/>
      <c r="G10" s="56"/>
      <c r="H10" s="56"/>
      <c r="I10" s="56"/>
      <c r="J10" s="56"/>
      <c r="K10" s="56"/>
      <c r="L10" s="56"/>
    </row>
    <row r="11" spans="1:12" hidden="1" outlineLevel="1" x14ac:dyDescent="0.3">
      <c r="A11" s="63"/>
      <c r="B11" s="63" t="s">
        <v>59</v>
      </c>
      <c r="C11" s="63" t="s">
        <v>60</v>
      </c>
      <c r="D11" s="63"/>
      <c r="E11" s="63"/>
      <c r="F11" s="56"/>
      <c r="G11" s="56"/>
      <c r="H11" s="56"/>
      <c r="I11" s="56"/>
      <c r="J11" s="56"/>
      <c r="K11" s="56"/>
      <c r="L11" s="56"/>
    </row>
    <row r="12" spans="1:12" hidden="1" outlineLevel="1" x14ac:dyDescent="0.3">
      <c r="A12" s="63"/>
      <c r="B12" s="63" t="s">
        <v>59</v>
      </c>
      <c r="C12" s="63" t="s">
        <v>60</v>
      </c>
      <c r="D12" s="63"/>
      <c r="E12" s="63"/>
      <c r="F12" s="56"/>
      <c r="G12" s="56"/>
      <c r="H12" s="56"/>
      <c r="I12" s="56"/>
      <c r="J12" s="56"/>
      <c r="K12" s="56"/>
      <c r="L12" s="56"/>
    </row>
    <row r="13" spans="1:12" hidden="1" outlineLevel="1" x14ac:dyDescent="0.3">
      <c r="A13" s="63"/>
      <c r="B13" s="63" t="s">
        <v>61</v>
      </c>
      <c r="C13" s="63" t="s">
        <v>62</v>
      </c>
      <c r="D13" s="63"/>
      <c r="E13" s="63"/>
      <c r="F13" s="56"/>
      <c r="G13" s="56"/>
      <c r="H13" s="56"/>
      <c r="I13" s="56"/>
      <c r="J13" s="56"/>
      <c r="K13" s="56"/>
      <c r="L13" s="56"/>
    </row>
    <row r="14" spans="1:12" hidden="1" outlineLevel="1" x14ac:dyDescent="0.3">
      <c r="A14" s="63"/>
      <c r="B14" s="63" t="str">
        <f>_xll.MakeMun($B$11,_xll.BracketEscape($B$12))</f>
        <v>[plan_chart_of_accounts].[plan_chart_of_accounts]</v>
      </c>
      <c r="C14" s="63" t="str">
        <f>_xll.MakeMun($C$11,_xll.BracketEscape($C$12))</f>
        <v>[plan_business_unit].[plan_business_unit]</v>
      </c>
      <c r="D14" s="63"/>
      <c r="E14" s="63"/>
      <c r="F14" s="56"/>
      <c r="G14" s="56"/>
      <c r="H14" s="56"/>
      <c r="I14" s="56"/>
      <c r="J14" s="56"/>
      <c r="K14" s="56"/>
      <c r="L14" s="56"/>
    </row>
    <row r="15" spans="1:12" hidden="1" outlineLevel="1" x14ac:dyDescent="0.3">
      <c r="A15" s="63"/>
      <c r="B15" s="63" t="str">
        <f>_xll.MakeJSON($B$14,$B$13)</f>
        <v>"[plan_chart_of_accounts].[plan_chart_of_accounts]" : "AccountName"</v>
      </c>
      <c r="C15" s="63" t="str">
        <f>_xll.MakeJSON($C$14,$C$13)</f>
        <v>"[plan_business_unit].[plan_business_unit]" : "BusinessUnit"</v>
      </c>
      <c r="D15" s="63"/>
      <c r="E15" s="63"/>
      <c r="F15" s="56"/>
      <c r="G15" s="56"/>
      <c r="H15" s="56"/>
      <c r="I15" s="56"/>
      <c r="J15" s="56"/>
      <c r="K15" s="56"/>
      <c r="L15" s="56"/>
    </row>
    <row r="16" spans="1:12" hidden="1" outlineLevel="1" x14ac:dyDescent="0.3">
      <c r="A16" s="63"/>
      <c r="B16" s="63" t="str">
        <f>_xll.MakeJSON($B$14,"false")</f>
        <v>"[plan_chart_of_accounts].[plan_chart_of_accounts]" : "false"</v>
      </c>
      <c r="C16" s="63" t="str">
        <f>_xll.MakeJSON($C$14,"false")</f>
        <v>"[plan_business_unit].[plan_business_unit]" : "false"</v>
      </c>
      <c r="D16" s="63"/>
      <c r="E16" s="63"/>
      <c r="F16" s="56"/>
      <c r="G16" s="56"/>
      <c r="H16" s="56"/>
      <c r="I16" s="56"/>
      <c r="J16" s="56"/>
      <c r="K16" s="56"/>
      <c r="L16" s="56"/>
    </row>
    <row r="17" spans="1:12" hidden="1" outlineLevel="1" x14ac:dyDescent="0.3">
      <c r="A17" s="63"/>
      <c r="B17" s="63" t="str">
        <f>_xll.TM1SET($B$1,$B$2,$B$11,$B$12,$B$10,,,$B$13,"sessionSet")</f>
        <v>yw5ci3kDAIASAAAQ</v>
      </c>
      <c r="C17" s="63" t="str">
        <f>_xll.TM1SET($B$1,$B$2,$C$11,$C$12,$C$10,,,$C$13,"sessionSet")</f>
        <v>yw5ci3kDAIAUAAAQ</v>
      </c>
      <c r="D17" s="63"/>
      <c r="E17" s="63"/>
      <c r="F17" s="56"/>
      <c r="G17" s="56"/>
      <c r="H17" s="56"/>
      <c r="I17" s="56"/>
      <c r="J17" s="56"/>
      <c r="K17" s="56"/>
      <c r="L17" s="56"/>
    </row>
    <row r="18" spans="1:12" hidden="1" outlineLevel="1" x14ac:dyDescent="0.3">
      <c r="A18" s="63"/>
      <c r="B18" s="63" t="str">
        <f>"TM1SubsetToSet("&amp;$B$14&amp;","&amp;"'"&amp;$B$17&amp;"')"</f>
        <v>TM1SubsetToSet([plan_chart_of_accounts].[plan_chart_of_accounts],'yw5ci3kDAIASAAAQ')</v>
      </c>
      <c r="C18" s="63" t="str">
        <f>"TM1SubsetToSet("&amp;$C$14&amp;","&amp;"'"&amp;$C$17&amp;"')"</f>
        <v>TM1SubsetToSet([plan_business_unit].[plan_business_unit],'yw5ci3kDAIAUAAAQ')</v>
      </c>
      <c r="D18" s="63"/>
      <c r="E18" s="63"/>
      <c r="F18" s="56"/>
      <c r="G18" s="56"/>
      <c r="H18" s="56"/>
      <c r="I18" s="56"/>
      <c r="J18" s="56"/>
      <c r="K18" s="56"/>
      <c r="L18" s="56"/>
    </row>
    <row r="19" spans="1:12" hidden="1" outlineLevel="1" x14ac:dyDescent="0.3">
      <c r="A19" s="63" t="str">
        <f>_xll.ConcatCrossJoin($B$18:$C$18)</f>
        <v xml:space="preserve"> { TM1SubsetToSet([plan_chart_of_accounts].[plan_chart_of_accounts],'yw5ci3kDAIASAAAQ') * TM1SubsetToSet([plan_business_unit].[plan_business_unit],'yw5ci3kDAIAUAAAQ') } </v>
      </c>
      <c r="B19" s="63"/>
      <c r="C19" s="63" t="str">
        <f>_xll.MakeAxis($B$35,$A$19,"1",$B$19)</f>
        <v>NON EMPTY TM1IGNORE_BADTUPLES {  {  { TM1SubsetToSet([plan_chart_of_accounts].[plan_chart_of_accounts],'yw5ci3kDAIASAAAQ') * TM1SubsetToSet([plan_business_unit].[plan_business_unit],'yw5ci3kDAIAUAAAQ') }  }  }  ON 1</v>
      </c>
      <c r="D19" s="63"/>
      <c r="E19" s="63"/>
      <c r="F19" s="56"/>
      <c r="G19" s="56"/>
      <c r="H19" s="56"/>
      <c r="I19" s="56"/>
      <c r="J19" s="56"/>
      <c r="K19" s="56"/>
      <c r="L19" s="56"/>
    </row>
    <row r="20" spans="1:12" hidden="1" outlineLevel="1" x14ac:dyDescent="0.3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hidden="1" outlineLevel="1" x14ac:dyDescent="0.3">
      <c r="A21" s="63" t="s">
        <v>63</v>
      </c>
      <c r="B21" s="63" t="s">
        <v>64</v>
      </c>
      <c r="C21" s="63"/>
      <c r="D21" s="56"/>
      <c r="E21" s="56"/>
      <c r="F21" s="56"/>
      <c r="G21" s="56"/>
      <c r="H21" s="56"/>
      <c r="I21" s="56"/>
      <c r="J21" s="56"/>
      <c r="K21" s="56"/>
      <c r="L21" s="56"/>
    </row>
    <row r="22" spans="1:12" hidden="1" outlineLevel="1" x14ac:dyDescent="0.3">
      <c r="A22" s="63"/>
      <c r="B22" s="63"/>
      <c r="C22" s="63"/>
      <c r="D22" s="56"/>
      <c r="E22" s="56"/>
      <c r="F22" s="56"/>
      <c r="G22" s="56"/>
      <c r="H22" s="56"/>
      <c r="I22" s="56"/>
      <c r="J22" s="56"/>
      <c r="K22" s="56"/>
      <c r="L22" s="56"/>
    </row>
    <row r="23" spans="1:12" hidden="1" outlineLevel="1" x14ac:dyDescent="0.3">
      <c r="A23" s="63"/>
      <c r="B23" s="63"/>
      <c r="C23" s="63"/>
      <c r="D23" s="56"/>
      <c r="E23" s="56"/>
      <c r="F23" s="56"/>
      <c r="G23" s="56"/>
      <c r="H23" s="56"/>
      <c r="I23" s="56"/>
      <c r="J23" s="56"/>
      <c r="K23" s="56"/>
      <c r="L23" s="56"/>
    </row>
    <row r="24" spans="1:12" hidden="1" outlineLevel="1" x14ac:dyDescent="0.3">
      <c r="A24" s="63"/>
      <c r="B24" s="63"/>
      <c r="C24" s="63"/>
      <c r="D24" s="56"/>
      <c r="E24" s="56"/>
      <c r="F24" s="56"/>
      <c r="G24" s="56"/>
      <c r="H24" s="56"/>
      <c r="I24" s="56"/>
      <c r="J24" s="56"/>
      <c r="K24" s="56"/>
      <c r="L24" s="56"/>
    </row>
    <row r="25" spans="1:12" hidden="1" outlineLevel="1" x14ac:dyDescent="0.3">
      <c r="A25" s="63"/>
      <c r="B25" s="63"/>
      <c r="C25" s="63"/>
      <c r="D25" s="56"/>
      <c r="E25" s="56"/>
      <c r="F25" s="56"/>
      <c r="G25" s="56"/>
      <c r="H25" s="56"/>
      <c r="I25" s="56"/>
      <c r="J25" s="56"/>
      <c r="K25" s="56"/>
      <c r="L25" s="56"/>
    </row>
    <row r="26" spans="1:12" hidden="1" outlineLevel="1" x14ac:dyDescent="0.3">
      <c r="A26" s="63"/>
      <c r="B26" s="63"/>
      <c r="C26" s="63"/>
      <c r="D26" s="56"/>
      <c r="E26" s="56"/>
      <c r="F26" s="56"/>
      <c r="G26" s="56"/>
      <c r="H26" s="56"/>
      <c r="I26" s="56"/>
      <c r="J26" s="56"/>
      <c r="K26" s="56"/>
      <c r="L26" s="56"/>
    </row>
    <row r="27" spans="1:12" hidden="1" outlineLevel="1" x14ac:dyDescent="0.3">
      <c r="A27" s="63"/>
      <c r="B27" s="63"/>
      <c r="C27" s="63"/>
      <c r="D27" s="56"/>
      <c r="E27" s="56"/>
      <c r="F27" s="56"/>
      <c r="G27" s="56"/>
      <c r="H27" s="56"/>
      <c r="I27" s="56"/>
      <c r="J27" s="56"/>
      <c r="K27" s="56"/>
      <c r="L27" s="56"/>
    </row>
    <row r="28" spans="1:12" hidden="1" outlineLevel="1" x14ac:dyDescent="0.3">
      <c r="A28" s="63"/>
      <c r="B28" s="63"/>
      <c r="C28" s="63"/>
      <c r="D28" s="56"/>
      <c r="E28" s="56"/>
      <c r="F28" s="56"/>
      <c r="G28" s="56"/>
      <c r="H28" s="56"/>
      <c r="I28" s="56"/>
      <c r="J28" s="56"/>
      <c r="K28" s="56"/>
      <c r="L28" s="56"/>
    </row>
    <row r="29" spans="1:12" hidden="1" outlineLevel="1" x14ac:dyDescent="0.3">
      <c r="A29" s="63"/>
      <c r="B29" s="63"/>
      <c r="C29" s="63"/>
      <c r="D29" s="56"/>
      <c r="E29" s="56"/>
      <c r="F29" s="56"/>
      <c r="G29" s="56"/>
      <c r="H29" s="56"/>
      <c r="I29" s="56"/>
      <c r="J29" s="56"/>
      <c r="K29" s="56"/>
      <c r="L29" s="56"/>
    </row>
    <row r="30" spans="1:12" hidden="1" outlineLevel="1" x14ac:dyDescent="0.3">
      <c r="A30" s="63" t="str">
        <f>$B$21</f>
        <v>{[plan_version].[plan_version].[FY 2004 Budget],[plan_version].[plan_version].[FY 2004 Forecast]}*{DRILLDOWNMEMBER({[plan_time].[plan_time].[2004]} , {[plan_time].[plan_time].[2004]} , RECURSIVE)}</v>
      </c>
      <c r="B30" s="63"/>
      <c r="C30" s="63" t="str">
        <f>_xll.MakeAxis($A$35,$A$30,"0",$B$30)</f>
        <v>NON EMPTY TM1IGNORE_BADTUPLES {  { {[plan_version].[plan_version].[FY 2004 Budget],[plan_version].[plan_version].[FY 2004 Forecast]}*{DRILLDOWNMEMBER({[plan_time].[plan_time].[2004]} , {[plan_time].[plan_time].[2004]} , RECURSIVE)} }  }  ON 0</v>
      </c>
      <c r="D30" s="56"/>
      <c r="E30" s="56"/>
      <c r="F30" s="56"/>
      <c r="G30" s="56"/>
      <c r="H30" s="56"/>
      <c r="I30" s="56"/>
      <c r="J30" s="56"/>
      <c r="K30" s="56"/>
      <c r="L30" s="56"/>
    </row>
    <row r="31" spans="1:12" hidden="1" outlineLevel="1" x14ac:dyDescent="0.3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hidden="1" outlineLevel="1" x14ac:dyDescent="0.3">
      <c r="A32" s="63" t="s">
        <v>65</v>
      </c>
      <c r="B32" s="63" t="str">
        <f>_xll.ConcatComma($C$39:$C$41)</f>
        <v>[plan_department].[plan_department].[Total Organization],[plan_exchange_rates].[plan_exchange_rates].[local],[plan_source].[plan_source].[input]</v>
      </c>
      <c r="C32" s="63"/>
      <c r="D32" s="56"/>
      <c r="E32" s="56"/>
      <c r="F32" s="56"/>
      <c r="G32" s="56"/>
      <c r="H32" s="56"/>
      <c r="I32" s="56"/>
      <c r="J32" s="56"/>
      <c r="K32" s="56"/>
      <c r="L32" s="56"/>
    </row>
    <row r="33" spans="1:15" hidden="1" outlineLevel="1" x14ac:dyDescent="0.3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5" hidden="1" outlineLevel="1" x14ac:dyDescent="0.3">
      <c r="A34" s="63" t="s">
        <v>66</v>
      </c>
      <c r="B34" s="63" t="str">
        <f>_xll.ConcatStrings(,tm2\\_0_calcs)</f>
        <v/>
      </c>
      <c r="C34" s="64" t="s">
        <v>67</v>
      </c>
      <c r="D34" s="65"/>
      <c r="E34" s="65"/>
      <c r="F34" s="65"/>
      <c r="G34" s="65"/>
      <c r="H34" s="56"/>
      <c r="I34" s="56"/>
      <c r="J34" s="56"/>
      <c r="K34" s="56"/>
      <c r="L34" s="56"/>
    </row>
    <row r="35" spans="1:15" hidden="1" outlineLevel="1" x14ac:dyDescent="0.3">
      <c r="A35" s="63" t="str">
        <f>IF(OR(COUNTIF($E$37, "*Supprimer les colonnes uniquement*"), COUNTIF($E$37, "*Supprimer les lignes et les colonnes*")), "NON EMPTY", "")</f>
        <v>NON EMPTY</v>
      </c>
      <c r="B35" s="63" t="str">
        <f>IF(OR(COUNTIF($E$37, "*Supprimer les lignes uniquement*"), COUNTIF($E$37, "*Supprimer les lignes et les colonnes*")), "NON EMPTY", "")</f>
        <v>NON EMPTY</v>
      </c>
      <c r="C35" s="56"/>
      <c r="D35" s="56"/>
      <c r="E35" s="56"/>
      <c r="F35" s="66" t="str">
        <f ca="1">IF(_xll.TM2RPTELISCONSOLIDATED(F43),IF(_xll.TM2RPTELLEV(F43)&lt;=5,_xll.TM2RPTELLEV(F43),"Default"),"Leaf")</f>
        <v>Leaf</v>
      </c>
      <c r="G35" s="66" t="str">
        <f ca="1">IF(_xll.TM2RPTELISCONSOLIDATED(G43),IF(_xll.TM2RPTELLEV(G43)&lt;=5,_xll.TM2RPTELLEV(G43),"Default"),"Leaf")</f>
        <v>Leaf</v>
      </c>
      <c r="H35" s="66" t="str">
        <f ca="1">IF(_xll.TM2RPTELISCONSOLIDATED(H43),IF(_xll.TM2RPTELLEV(H43)&lt;=5,_xll.TM2RPTELLEV(H43),"Default"),"Leaf")</f>
        <v>Leaf</v>
      </c>
      <c r="I35" s="66" t="str">
        <f ca="1">IF(_xll.TM2RPTELISCONSOLIDATED(I43),IF(_xll.TM2RPTELLEV(I43)&lt;=5,_xll.TM2RPTELLEV(I43),"Default"),"Leaf")</f>
        <v>Leaf</v>
      </c>
      <c r="J35" s="66" t="str">
        <f ca="1">IF(_xll.TM2RPTELISCONSOLIDATED(J43),IF(_xll.TM2RPTELLEV(J43)&lt;=5,_xll.TM2RPTELLEV(J43),"Default"),"Leaf")</f>
        <v>Leaf</v>
      </c>
      <c r="K35" s="66" t="str">
        <f ca="1">IF(_xll.TM2RPTELISCONSOLIDATED(K43),IF(_xll.TM2RPTELLEV(K43)&lt;=5,_xll.TM2RPTELLEV(K43),"Default"),"Leaf")</f>
        <v>Leaf</v>
      </c>
      <c r="L35" s="66" t="str">
        <f ca="1">IF(_xll.TM2RPTELISCONSOLIDATED(L43),IF(_xll.TM2RPTELLEV(L43)&lt;=5,_xll.TM2RPTELLEV(L43),"Default"),"Leaf")</f>
        <v>Leaf</v>
      </c>
      <c r="M35" s="44" t="str">
        <f ca="1">IF(_xll.TM2RPTELISCONSOLIDATED(M43),IF(_xll.TM2RPTELLEV(M43)&lt;=5,_xll.TM2RPTELLEV(M43),"Default"),"Leaf")</f>
        <v>Leaf</v>
      </c>
      <c r="N35" s="44" t="str">
        <f ca="1">IF(_xll.TM2RPTELISCONSOLIDATED(N43),IF(_xll.TM2RPTELLEV(N43)&lt;=5,_xll.TM2RPTELLEV(N43),"Default"),"Leaf")</f>
        <v>Leaf</v>
      </c>
      <c r="O35" s="44" t="str">
        <f ca="1">IF(_xll.TM2RPTELISCONSOLIDATED(O43),IF(_xll.TM2RPTELLEV(O43)&lt;=5,_xll.TM2RPTELLEV(O43),"Default"),"Leaf")</f>
        <v>Leaf</v>
      </c>
    </row>
    <row r="36" spans="1:15" hidden="1" outlineLevel="1" x14ac:dyDescent="0.3">
      <c r="A36" s="63" t="s">
        <v>68</v>
      </c>
      <c r="B36" s="63" t="s">
        <v>69</v>
      </c>
      <c r="C36" s="63" t="s">
        <v>43</v>
      </c>
      <c r="D36" s="63" t="s">
        <v>70</v>
      </c>
      <c r="E36" s="56"/>
      <c r="F36" s="56"/>
      <c r="G36" s="56"/>
      <c r="H36" s="56"/>
      <c r="I36" s="56"/>
      <c r="J36" s="56"/>
      <c r="K36" s="56"/>
      <c r="L36" s="56"/>
    </row>
    <row r="37" spans="1:15" collapsed="1" x14ac:dyDescent="0.3">
      <c r="A37" s="56"/>
      <c r="B37" s="56"/>
      <c r="C37" s="56"/>
      <c r="D37" s="63" t="s">
        <v>44</v>
      </c>
      <c r="E37" s="63" t="s">
        <v>43</v>
      </c>
      <c r="F37" s="63"/>
      <c r="G37" s="56"/>
      <c r="H37" s="56"/>
      <c r="I37" s="56"/>
      <c r="J37" s="56"/>
      <c r="K37" s="56"/>
      <c r="L37" s="56"/>
    </row>
    <row r="38" spans="1:15" x14ac:dyDescent="0.3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5" x14ac:dyDescent="0.3">
      <c r="A39" s="64" t="s">
        <v>45</v>
      </c>
      <c r="B39" s="63" t="s">
        <v>46</v>
      </c>
      <c r="C39" s="63" t="str">
        <f>_xll.MakeMun($D$39,_xll.BracketEscape($E$39),_xll.BracketEscape($F$39))</f>
        <v>[plan_department].[plan_department].[Total Organization]</v>
      </c>
      <c r="D39" s="63" t="s">
        <v>29</v>
      </c>
      <c r="E39" s="63" t="s">
        <v>29</v>
      </c>
      <c r="F39" s="63" t="str">
        <f>_xll.TM1SET($B$1,$B$2,$D$39,$E$39,$B$39,$A$39,,"Department","memberdisplay")</f>
        <v>Total Organization</v>
      </c>
      <c r="G39" s="63"/>
      <c r="H39" s="56"/>
      <c r="I39" s="56"/>
      <c r="J39" s="56"/>
      <c r="K39" s="56"/>
      <c r="L39" s="56"/>
    </row>
    <row r="40" spans="1:15" x14ac:dyDescent="0.3">
      <c r="A40" s="64" t="s">
        <v>34</v>
      </c>
      <c r="B40" s="63" t="s">
        <v>47</v>
      </c>
      <c r="C40" s="63" t="str">
        <f>_xll.MakeMun($D$40,_xll.BracketEscape($E$40),_xll.BracketEscape($F$40))</f>
        <v>[plan_exchange_rates].[plan_exchange_rates].[local]</v>
      </c>
      <c r="D40" s="63" t="s">
        <v>30</v>
      </c>
      <c r="E40" s="63" t="s">
        <v>30</v>
      </c>
      <c r="F40" s="63" t="str">
        <f>_xll.TM1SET($B$1,$B$2,$D$40,$E$40,$B$40,$A$40,,,"memberdisplay")</f>
        <v>local</v>
      </c>
      <c r="G40" s="63"/>
      <c r="H40" s="56"/>
      <c r="I40" s="56"/>
      <c r="J40" s="56"/>
      <c r="K40" s="56"/>
      <c r="L40" s="56"/>
    </row>
    <row r="41" spans="1:15" x14ac:dyDescent="0.3">
      <c r="A41" s="64" t="s">
        <v>35</v>
      </c>
      <c r="B41" s="63" t="s">
        <v>48</v>
      </c>
      <c r="C41" s="63" t="str">
        <f>_xll.MakeMun($D$41,_xll.BracketEscape($E$41),_xll.BracketEscape($F$41))</f>
        <v>[plan_source].[plan_source].[input]</v>
      </c>
      <c r="D41" s="63" t="s">
        <v>31</v>
      </c>
      <c r="E41" s="63" t="s">
        <v>31</v>
      </c>
      <c r="F41" s="63" t="str">
        <f>_xll.TM1SET($B$1,$B$2,$D$41,$E$41,$B$41,$A$41,,,"memberdisplay")</f>
        <v>input</v>
      </c>
      <c r="G41" s="63"/>
      <c r="H41" s="56"/>
      <c r="I41" s="56"/>
      <c r="J41" s="56"/>
      <c r="K41" s="56"/>
      <c r="L41" s="56"/>
    </row>
    <row r="43" spans="1:15" x14ac:dyDescent="0.3">
      <c r="F43" s="48" t="s">
        <v>0</v>
      </c>
      <c r="G43" s="48" t="s">
        <v>0</v>
      </c>
      <c r="H43" s="48" t="s">
        <v>0</v>
      </c>
      <c r="I43" s="48" t="s">
        <v>0</v>
      </c>
      <c r="J43" s="48" t="s">
        <v>0</v>
      </c>
      <c r="K43" s="48" t="s">
        <v>1</v>
      </c>
      <c r="L43" s="48" t="s">
        <v>1</v>
      </c>
      <c r="M43" s="48" t="s">
        <v>1</v>
      </c>
      <c r="N43" s="48" t="s">
        <v>1</v>
      </c>
      <c r="O43" s="48" t="s">
        <v>1</v>
      </c>
    </row>
    <row r="44" spans="1:15" x14ac:dyDescent="0.3">
      <c r="F44" s="49" t="s">
        <v>2</v>
      </c>
      <c r="G44" s="50" t="s">
        <v>3</v>
      </c>
      <c r="H44" s="50" t="s">
        <v>4</v>
      </c>
      <c r="I44" s="50" t="s">
        <v>5</v>
      </c>
      <c r="J44" s="50" t="s">
        <v>6</v>
      </c>
      <c r="K44" s="49" t="s">
        <v>2</v>
      </c>
      <c r="L44" s="50" t="s">
        <v>3</v>
      </c>
      <c r="M44" s="50" t="s">
        <v>4</v>
      </c>
      <c r="N44" s="50" t="s">
        <v>5</v>
      </c>
      <c r="O44" s="50" t="s">
        <v>6</v>
      </c>
    </row>
    <row r="45" spans="1:15" x14ac:dyDescent="0.3">
      <c r="C45" s="44">
        <f ca="1">IF(_xll.TM2RPTELISCONSOLIDATED(D45),IF(_xll.TM2RPTELLEV(D45)&lt;=5,_xll.TM2RPTELLEV(D45),"Default"),"Leaf")</f>
        <v>0</v>
      </c>
      <c r="D45" s="47" t="s">
        <v>7</v>
      </c>
      <c r="E45" s="47" t="s">
        <v>8</v>
      </c>
      <c r="F45" s="46">
        <v>206587115.079999</v>
      </c>
      <c r="G45" s="46">
        <v>49894994.609999903</v>
      </c>
      <c r="H45" s="46">
        <v>51966012.140000001</v>
      </c>
      <c r="I45" s="46">
        <v>52675024.939999998</v>
      </c>
      <c r="J45" s="46">
        <v>52051083.390000001</v>
      </c>
      <c r="K45" s="46">
        <v>207947799.16</v>
      </c>
      <c r="L45" s="46">
        <v>50780156.759999998</v>
      </c>
      <c r="M45" s="46">
        <v>52123752.219999999</v>
      </c>
      <c r="N45" s="46">
        <v>52834738.68</v>
      </c>
      <c r="O45" s="46">
        <v>52209151.5</v>
      </c>
    </row>
    <row r="46" spans="1:15" x14ac:dyDescent="0.3">
      <c r="C46" s="44">
        <f ca="1">IF(_xll.TM2RPTELISCONSOLIDATED(D46),IF(_xll.TM2RPTELLEV(D46)&lt;=5,_xll.TM2RPTELLEV(D46),"Default"),"Leaf")</f>
        <v>0</v>
      </c>
      <c r="D46" s="47" t="s">
        <v>9</v>
      </c>
      <c r="E46" s="47" t="s">
        <v>8</v>
      </c>
      <c r="F46" s="46">
        <v>65632643.625</v>
      </c>
      <c r="G46" s="46">
        <v>15855098.25</v>
      </c>
      <c r="H46" s="46">
        <v>16745295.375</v>
      </c>
      <c r="I46" s="46">
        <v>16517713.125</v>
      </c>
      <c r="J46" s="46">
        <v>16514536.875</v>
      </c>
      <c r="K46" s="46">
        <v>1756584.20999999</v>
      </c>
      <c r="L46" s="46">
        <v>424344.14999999898</v>
      </c>
      <c r="M46" s="46">
        <v>448168.15999999898</v>
      </c>
      <c r="N46" s="46">
        <v>442084.39</v>
      </c>
      <c r="O46" s="46">
        <v>441987.51</v>
      </c>
    </row>
    <row r="47" spans="1:15" x14ac:dyDescent="0.3">
      <c r="C47" s="44">
        <f ca="1">IF(_xll.TM2RPTELISCONSOLIDATED(D47),IF(_xll.TM2RPTELLEV(D47)&lt;=5,_xll.TM2RPTELLEV(D47),"Default"),"Leaf")</f>
        <v>0</v>
      </c>
      <c r="D47" s="47" t="s">
        <v>10</v>
      </c>
      <c r="E47" s="47" t="s">
        <v>8</v>
      </c>
      <c r="F47" s="46">
        <v>60989299.543120503</v>
      </c>
      <c r="G47" s="46">
        <v>15324280.6942819</v>
      </c>
      <c r="H47" s="46">
        <v>15244886.1338642</v>
      </c>
      <c r="I47" s="46">
        <v>15301150.733429199</v>
      </c>
      <c r="J47" s="46">
        <v>15118981.981544901</v>
      </c>
      <c r="K47" s="46">
        <v>61195487.208856203</v>
      </c>
      <c r="L47" s="46">
        <v>15370206.436570499</v>
      </c>
      <c r="M47" s="46">
        <v>15298386.7101369</v>
      </c>
      <c r="N47" s="46">
        <v>15354847.7063674</v>
      </c>
      <c r="O47" s="46">
        <v>15172046.355781101</v>
      </c>
    </row>
    <row r="48" spans="1:15" x14ac:dyDescent="0.3">
      <c r="C48" s="44">
        <f ca="1">IF(_xll.TM2RPTELISCONSOLIDATED(D48),IF(_xll.TM2RPTELLEV(D48)&lt;=5,_xll.TM2RPTELLEV(D48),"Default"),"Leaf")</f>
        <v>0</v>
      </c>
      <c r="D48" s="47" t="s">
        <v>11</v>
      </c>
      <c r="E48" s="47" t="s">
        <v>8</v>
      </c>
      <c r="F48" s="46">
        <v>79965171.911879599</v>
      </c>
      <c r="G48" s="46">
        <v>18715615.665718</v>
      </c>
      <c r="H48" s="46">
        <v>19975830.631135698</v>
      </c>
      <c r="I48" s="46">
        <v>20856161.0815707</v>
      </c>
      <c r="J48" s="46">
        <v>20417564.533454899</v>
      </c>
      <c r="K48" s="46">
        <v>144995727.741144</v>
      </c>
      <c r="L48" s="46">
        <v>34985606.1734294</v>
      </c>
      <c r="M48" s="46">
        <v>36377197.349863</v>
      </c>
      <c r="N48" s="46">
        <v>37037806.583632499</v>
      </c>
      <c r="O48" s="46">
        <v>36595117.634218797</v>
      </c>
    </row>
  </sheetData>
  <conditionalFormatting sqref="D45:E48">
    <cfRule type="expression" dxfId="53" priority="2" stopIfTrue="1">
      <formula>OR(D45=OFFSET(D45,-1,0), LEFT(D45, LEN("Header_#"))="Header_#")</formula>
    </cfRule>
    <cfRule type="expression" dxfId="52" priority="3" stopIfTrue="1">
      <formula>$C45="Leaf"</formula>
    </cfRule>
    <cfRule type="expression" dxfId="51" priority="4" stopIfTrue="1">
      <formula>$C45="Default"</formula>
    </cfRule>
    <cfRule type="expression" dxfId="50" priority="5" stopIfTrue="1">
      <formula>$C45=0</formula>
    </cfRule>
    <cfRule type="expression" dxfId="49" priority="6" stopIfTrue="1">
      <formula>$C45=1</formula>
    </cfRule>
    <cfRule type="expression" dxfId="48" priority="7" stopIfTrue="1">
      <formula>$C45=2</formula>
    </cfRule>
    <cfRule type="expression" dxfId="47" priority="8" stopIfTrue="1">
      <formula>$C45=3</formula>
    </cfRule>
    <cfRule type="expression" dxfId="46" priority="9" stopIfTrue="1">
      <formula>$C45=4</formula>
    </cfRule>
    <cfRule type="expression" dxfId="45" priority="10" stopIfTrue="1">
      <formula>$C45=5</formula>
    </cfRule>
  </conditionalFormatting>
  <conditionalFormatting sqref="F45:O48">
    <cfRule type="expression" priority="11" stopIfTrue="1">
      <formula>$C45="Leaf"</formula>
    </cfRule>
    <cfRule type="expression" priority="12" stopIfTrue="1">
      <formula>$C45="Default"</formula>
    </cfRule>
    <cfRule type="expression" priority="13" stopIfTrue="1">
      <formula>$C45=0</formula>
    </cfRule>
    <cfRule type="expression" priority="14" stopIfTrue="1">
      <formula>$C45=1</formula>
    </cfRule>
    <cfRule type="expression" priority="15" stopIfTrue="1">
      <formula>$C45=2</formula>
    </cfRule>
    <cfRule type="expression" priority="16" stopIfTrue="1">
      <formula>$C45=3</formula>
    </cfRule>
    <cfRule type="expression" priority="17" stopIfTrue="1">
      <formula>$C45=4</formula>
    </cfRule>
    <cfRule type="expression" priority="18" stopIfTrue="1">
      <formula>$C45=5</formula>
    </cfRule>
    <cfRule type="expression" priority="27" stopIfTrue="1">
      <formula>F$35="Leaf"</formula>
    </cfRule>
    <cfRule type="expression" priority="28" stopIfTrue="1">
      <formula>F$35="Default"</formula>
    </cfRule>
    <cfRule type="expression" priority="29" stopIfTrue="1">
      <formula>F$35=0</formula>
    </cfRule>
    <cfRule type="expression" priority="30" stopIfTrue="1">
      <formula>F$35=1</formula>
    </cfRule>
    <cfRule type="expression" priority="31" stopIfTrue="1">
      <formula>F$35=2</formula>
    </cfRule>
    <cfRule type="expression" priority="32" stopIfTrue="1">
      <formula>F$35=3</formula>
    </cfRule>
    <cfRule type="expression" priority="33" stopIfTrue="1">
      <formula>F$35=4</formula>
    </cfRule>
    <cfRule type="expression" priority="34" stopIfTrue="1">
      <formula>F$35=5</formula>
    </cfRule>
  </conditionalFormatting>
  <conditionalFormatting sqref="F43:O44">
    <cfRule type="expression" dxfId="44" priority="1" stopIfTrue="1">
      <formula>OR(F43=OFFSET(F43,0,-1), LEFT(F43, LEN("Header_#"))="Header_#")</formula>
    </cfRule>
    <cfRule type="expression" dxfId="43" priority="19" stopIfTrue="1">
      <formula>F$35="Leaf"</formula>
    </cfRule>
    <cfRule type="expression" dxfId="42" priority="20" stopIfTrue="1">
      <formula>F$35="Default"</formula>
    </cfRule>
    <cfRule type="expression" dxfId="41" priority="21" stopIfTrue="1">
      <formula>F$35=0</formula>
    </cfRule>
    <cfRule type="expression" dxfId="40" priority="22" stopIfTrue="1">
      <formula>F$35=1</formula>
    </cfRule>
    <cfRule type="expression" dxfId="39" priority="23" stopIfTrue="1">
      <formula>F$35=2</formula>
    </cfRule>
    <cfRule type="expression" dxfId="38" priority="24" stopIfTrue="1">
      <formula>F$35=3</formula>
    </cfRule>
    <cfRule type="expression" dxfId="37" priority="25" stopIfTrue="1">
      <formula>F$35=4</formula>
    </cfRule>
    <cfRule type="expression" dxfId="36" priority="26" stopIfTrue="1">
      <formula>F$35=5</formula>
    </cfRule>
  </conditionalFormatting>
  <dataValidations count="1">
    <dataValidation type="list" errorStyle="information" allowBlank="1" showInputMessage="1" showErrorMessage="1" sqref="E37" xr:uid="{C2592049-1190-47E9-9C68-35A0103F2CF9}">
      <formula1>$A$36:$D$36</formula1>
    </dataValidation>
  </dataValidations>
  <pageMargins left="0.7" right="0.7" top="0.75" bottom="0.75" header="0.3" footer="0.3"/>
  <headerFooter>
    <oddFooter>&amp;C_x000D_&amp;1#&amp;"arial"&amp;9&amp;K008000 C1 - 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372F-CAF8-49E1-B48C-DA6ACA70C53D}">
  <sheetPr codeName="Feuil7"/>
  <dimension ref="A1:O17"/>
  <sheetViews>
    <sheetView showGridLines="0" topLeftCell="D8" workbookViewId="0">
      <selection activeCell="B4" sqref="B4"/>
    </sheetView>
  </sheetViews>
  <sheetFormatPr baseColWidth="10" defaultRowHeight="14.4" outlineLevelRow="1" outlineLevelCol="1" x14ac:dyDescent="0.3"/>
  <cols>
    <col min="1" max="3" width="11.5546875" hidden="1" customWidth="1" outlineLevel="1"/>
    <col min="4" max="4" width="19.6640625" customWidth="1" collapsed="1"/>
    <col min="5" max="5" width="18.88671875" customWidth="1"/>
    <col min="6" max="6" width="16.44140625" customWidth="1"/>
    <col min="7" max="10" width="13.77734375" customWidth="1"/>
    <col min="11" max="15" width="14.77734375" customWidth="1"/>
  </cols>
  <sheetData>
    <row r="1" spans="1:15" hidden="1" outlineLevel="1" x14ac:dyDescent="0.3">
      <c r="A1" s="42" t="s">
        <v>49</v>
      </c>
      <c r="B1" s="42" t="str">
        <f>Datasource</f>
        <v>https://oa-pa-users.planning-analytics.cloud.ibm.com/</v>
      </c>
      <c r="C1" s="42"/>
    </row>
    <row r="2" spans="1:15" hidden="1" outlineLevel="1" x14ac:dyDescent="0.3">
      <c r="A2" s="42" t="s">
        <v>50</v>
      </c>
      <c r="B2" s="42" t="str">
        <f>Server</f>
        <v>Planning Sample</v>
      </c>
      <c r="C2" s="42"/>
    </row>
    <row r="3" spans="1:15" hidden="1" outlineLevel="1" x14ac:dyDescent="0.3"/>
    <row r="4" spans="1:15" hidden="1" outlineLevel="1" x14ac:dyDescent="0.3">
      <c r="A4" s="42" t="s">
        <v>55</v>
      </c>
      <c r="B4" s="42" t="str">
        <f>_xll.MakeQuery3("plan_BudgetPlan",tm2\\_0_rh,tm2\\_0_rm,tm2\\_0_ch,tm2\\_0_cm,tm2\\_0_sh,tm2\\_0_slicers,tm2\\_0_calcs)</f>
        <v>/* STATICLAYOUT */  SELECT  TM1IGNORE_BADTUPLES {  { ([plan_version].[plan_version].[FY 2004 Budget], [plan_time].[plan_time].[2004]), ([plan_version].[plan_version].[FY 2004 Budget], [plan_time].[plan_time].[Q1-2004]), ([plan_version].[plan_version].[FY 2004 Budget], [plan_time].[plan_time].[Q2-2004]), ([plan_version].[plan_version].[FY 2004 Budget], [plan_time].[plan_time].[Q3-2004]), ([plan_version].[plan_version].[FY 2004 Budget], [plan_time].[plan_time].[Q4-2004]), ([plan_version].[plan_version].[FY 2004 Forecast], [plan_time].[plan_time].[2004]), ([plan_version].[plan_version].[FY 2004 Forecast], [plan_time].[plan_time].[Q1-2004]), ([plan_version].[plan_version].[FY 2004 Forecast], [plan_time].[plan_time].[Q2-2004]), ([plan_version].[plan_version].[FY 2004 Forecast], [plan_time].[plan_time].[Q3-2004]), ([plan_version].[plan_version].[FY 2004 Forecast], [plan_time].[plan_time].[Q4-2004]) }  }  ON 0, TM1IGNORE_BADTUPLES {  { ([plan_chart_of_accounts].[plan_chart_of_accounts].[Revenue], [plan_business_unit].[plan_business_unit].[Total Business Unit]), ([plan_chart_of_accounts].[plan_chart_of_accounts].[COS], [plan_business_unit].[plan_business_unit].[Total Business Unit]), ([plan_chart_of_accounts].[plan_chart_of_accounts].[Operating Expense], [plan_business_unit].[plan_business_unit].[Total Business Unit]), ([plan_chart_of_accounts].[plan_chart_of_accounts].[Net Operating Income], [plan_business_unit].[plan_business_unit].[Total Business Unit]) }  }  ON 1 FROM [plan_BudgetPlan] WHERE ([plan_department].[plan_department].[Total Organization], [plan_exchange_rates].[plan_exchange_rates].[local], [plan_source].[plan_source].[input])</v>
      </c>
      <c r="C4" s="42"/>
    </row>
    <row r="5" spans="1:15" hidden="1" outlineLevel="1" x14ac:dyDescent="0.3">
      <c r="C5" s="42"/>
      <c r="D5" s="42"/>
      <c r="E5" s="42"/>
    </row>
    <row r="6" spans="1:15" hidden="1" outlineLevel="1" x14ac:dyDescent="0.3">
      <c r="A6" s="42" t="s">
        <v>66</v>
      </c>
      <c r="B6" s="42" t="str">
        <f>_xll.ConcatStrings(,tm2\\_0_calcs)</f>
        <v/>
      </c>
      <c r="C6" s="45" t="s">
        <v>67</v>
      </c>
      <c r="D6" s="43"/>
      <c r="E6" s="43"/>
      <c r="F6" s="43"/>
      <c r="G6" s="43"/>
    </row>
    <row r="7" spans="1:15" hidden="1" outlineLevel="1" x14ac:dyDescent="0.3"/>
    <row r="8" spans="1:15" collapsed="1" x14ac:dyDescent="0.3">
      <c r="A8" s="45" t="s">
        <v>45</v>
      </c>
      <c r="B8" s="42" t="s">
        <v>46</v>
      </c>
      <c r="C8" s="67" t="str">
        <f>_xll.MakeMun($D$8,_xll.BracketEscape($E$8),_xll.BracketEscape($F$8))</f>
        <v>[plan_department].[plan_department].[Total Organization]</v>
      </c>
      <c r="D8" s="63" t="s">
        <v>29</v>
      </c>
      <c r="E8" s="63" t="s">
        <v>29</v>
      </c>
      <c r="F8" s="63" t="str">
        <f>_xll.TM1SET($B$1,$B$2,$D$8,$E$8,$B$8,$A$8,,"Department","memberdisplay")</f>
        <v>Total Organization</v>
      </c>
      <c r="G8" s="63"/>
    </row>
    <row r="9" spans="1:15" x14ac:dyDescent="0.3">
      <c r="A9" s="42" t="s">
        <v>34</v>
      </c>
      <c r="B9" s="42" t="s">
        <v>47</v>
      </c>
      <c r="C9" s="67" t="str">
        <f>_xll.MakeMun($D$9,_xll.BracketEscape($E$9),_xll.BracketEscape($F$9))</f>
        <v>[plan_exchange_rates].[plan_exchange_rates].[local]</v>
      </c>
      <c r="D9" s="63" t="s">
        <v>30</v>
      </c>
      <c r="E9" s="63" t="s">
        <v>30</v>
      </c>
      <c r="F9" s="63" t="str">
        <f>_xll.TM1SET($B$1,$B$2,$D$9,$E$9,$B$9,$A$9,,,"memberdisplay")</f>
        <v>local</v>
      </c>
      <c r="G9" s="63"/>
    </row>
    <row r="10" spans="1:15" x14ac:dyDescent="0.3">
      <c r="A10" s="42" t="s">
        <v>35</v>
      </c>
      <c r="B10" s="42" t="s">
        <v>48</v>
      </c>
      <c r="C10" s="67" t="str">
        <f>_xll.MakeMun($D$10,_xll.BracketEscape($E$10),_xll.BracketEscape($F$10))</f>
        <v>[plan_source].[plan_source].[input]</v>
      </c>
      <c r="D10" s="63" t="s">
        <v>31</v>
      </c>
      <c r="E10" s="63" t="s">
        <v>31</v>
      </c>
      <c r="F10" s="63" t="str">
        <f>_xll.TM1SET($B$1,$B$2,$D$10,$E$10,$B$10,$A$10,,,"memberdisplay")</f>
        <v>input</v>
      </c>
      <c r="G10" s="63"/>
    </row>
    <row r="12" spans="1:15" ht="15" thickBot="1" x14ac:dyDescent="0.35">
      <c r="F12" s="51" t="s">
        <v>0</v>
      </c>
      <c r="G12" s="51" t="s">
        <v>0</v>
      </c>
      <c r="H12" s="51" t="s">
        <v>0</v>
      </c>
      <c r="I12" s="51" t="s">
        <v>0</v>
      </c>
      <c r="J12" s="51" t="s">
        <v>0</v>
      </c>
      <c r="K12" s="51" t="s">
        <v>1</v>
      </c>
      <c r="L12" s="51" t="s">
        <v>1</v>
      </c>
      <c r="M12" s="51" t="s">
        <v>1</v>
      </c>
      <c r="N12" s="51" t="s">
        <v>1</v>
      </c>
      <c r="O12" s="51" t="s">
        <v>1</v>
      </c>
    </row>
    <row r="13" spans="1:15" ht="15" thickBot="1" x14ac:dyDescent="0.35">
      <c r="F13" s="51" t="s">
        <v>2</v>
      </c>
      <c r="G13" s="51" t="s">
        <v>3</v>
      </c>
      <c r="H13" s="51" t="s">
        <v>4</v>
      </c>
      <c r="I13" s="51" t="s">
        <v>5</v>
      </c>
      <c r="J13" s="51" t="s">
        <v>6</v>
      </c>
      <c r="K13" s="51" t="s">
        <v>2</v>
      </c>
      <c r="L13" s="51" t="s">
        <v>3</v>
      </c>
      <c r="M13" s="51" t="s">
        <v>4</v>
      </c>
      <c r="N13" s="51" t="s">
        <v>5</v>
      </c>
      <c r="O13" s="51" t="s">
        <v>6</v>
      </c>
    </row>
    <row r="14" spans="1:15" x14ac:dyDescent="0.3">
      <c r="D14" s="52" t="s">
        <v>7</v>
      </c>
      <c r="E14" s="52" t="s">
        <v>8</v>
      </c>
      <c r="F14" s="46">
        <v>206587115.079999</v>
      </c>
      <c r="G14" s="46">
        <v>49894994.609999903</v>
      </c>
      <c r="H14" s="46">
        <v>51966012.140000001</v>
      </c>
      <c r="I14" s="46">
        <v>52675024.939999998</v>
      </c>
      <c r="J14" s="46">
        <v>52051083.390000001</v>
      </c>
      <c r="K14" s="46">
        <v>207947799.16</v>
      </c>
      <c r="L14" s="46">
        <v>50780156.759999998</v>
      </c>
      <c r="M14" s="46">
        <v>52123752.219999999</v>
      </c>
      <c r="N14" s="46">
        <v>52834738.68</v>
      </c>
      <c r="O14" s="46">
        <v>52209151.5</v>
      </c>
    </row>
    <row r="15" spans="1:15" x14ac:dyDescent="0.3">
      <c r="D15" s="52" t="s">
        <v>9</v>
      </c>
      <c r="E15" s="52" t="s">
        <v>8</v>
      </c>
      <c r="F15" s="46">
        <v>65632643.625</v>
      </c>
      <c r="G15" s="46">
        <v>15855098.25</v>
      </c>
      <c r="H15" s="46">
        <v>16745295.375</v>
      </c>
      <c r="I15" s="46">
        <v>16517713.125</v>
      </c>
      <c r="J15" s="46">
        <v>16514536.875</v>
      </c>
      <c r="K15" s="46">
        <v>1756584.20999999</v>
      </c>
      <c r="L15" s="46">
        <v>424344.14999999898</v>
      </c>
      <c r="M15" s="46">
        <v>448168.15999999898</v>
      </c>
      <c r="N15" s="46">
        <v>442084.39</v>
      </c>
      <c r="O15" s="46">
        <v>441987.51</v>
      </c>
    </row>
    <row r="16" spans="1:15" x14ac:dyDescent="0.3">
      <c r="D16" s="52" t="s">
        <v>10</v>
      </c>
      <c r="E16" s="52" t="s">
        <v>8</v>
      </c>
      <c r="F16" s="46">
        <v>60989299.543120503</v>
      </c>
      <c r="G16" s="46">
        <v>15324280.6942819</v>
      </c>
      <c r="H16" s="46">
        <v>15244886.1338642</v>
      </c>
      <c r="I16" s="46">
        <v>15301150.733429199</v>
      </c>
      <c r="J16" s="46">
        <v>15118981.981544901</v>
      </c>
      <c r="K16" s="46">
        <v>61195487.208856203</v>
      </c>
      <c r="L16" s="46">
        <v>15370206.436570499</v>
      </c>
      <c r="M16" s="46">
        <v>15298386.7101369</v>
      </c>
      <c r="N16" s="46">
        <v>15354847.7063674</v>
      </c>
      <c r="O16" s="46">
        <v>15172046.355781101</v>
      </c>
    </row>
    <row r="17" spans="4:15" x14ac:dyDescent="0.3">
      <c r="D17" s="52" t="s">
        <v>11</v>
      </c>
      <c r="E17" s="52" t="s">
        <v>8</v>
      </c>
      <c r="F17" s="46">
        <v>79965171.911879599</v>
      </c>
      <c r="G17" s="46">
        <v>18715615.665718</v>
      </c>
      <c r="H17" s="46">
        <v>19975830.631135698</v>
      </c>
      <c r="I17" s="46">
        <v>20856161.0815707</v>
      </c>
      <c r="J17" s="46">
        <v>20417564.533454899</v>
      </c>
      <c r="K17" s="46">
        <v>144995727.741144</v>
      </c>
      <c r="L17" s="46">
        <v>34985606.1734294</v>
      </c>
      <c r="M17" s="46">
        <v>36377197.349863</v>
      </c>
      <c r="N17" s="46">
        <v>37037806.583632499</v>
      </c>
      <c r="O17" s="46">
        <v>36595117.634218797</v>
      </c>
    </row>
  </sheetData>
  <pageMargins left="0.7" right="0.7" top="0.75" bottom="0.75" header="0.3" footer="0.3"/>
  <headerFooter>
    <oddFooter>&amp;C_x000D_&amp;1#&amp;"arial"&amp;9&amp;K008000 C1 -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55E8-7472-464E-9B9B-22356B25A337}">
  <sheetPr codeName="Feuil8"/>
  <dimension ref="A1:J51"/>
  <sheetViews>
    <sheetView showGridLines="0" topLeftCell="F37" workbookViewId="0">
      <selection activeCell="B2" sqref="B2"/>
    </sheetView>
  </sheetViews>
  <sheetFormatPr baseColWidth="10" defaultRowHeight="14.4" outlineLevelRow="1" outlineLevelCol="1" x14ac:dyDescent="0.3"/>
  <cols>
    <col min="1" max="5" width="11.5546875" hidden="1" customWidth="1" outlineLevel="1"/>
    <col min="6" max="6" width="17.5546875" customWidth="1" collapsed="1"/>
    <col min="7" max="7" width="18" customWidth="1"/>
  </cols>
  <sheetData>
    <row r="1" spans="1:9" hidden="1" outlineLevel="1" x14ac:dyDescent="0.3">
      <c r="A1" s="63" t="s">
        <v>49</v>
      </c>
      <c r="B1" s="63" t="str">
        <f>Datasource</f>
        <v>https://oa-pa-users.planning-analytics.cloud.ibm.com/</v>
      </c>
      <c r="C1" s="63"/>
      <c r="D1" s="56"/>
      <c r="E1" s="56"/>
      <c r="F1" s="56"/>
      <c r="G1" s="56"/>
      <c r="H1" s="56"/>
      <c r="I1" s="56"/>
    </row>
    <row r="2" spans="1:9" hidden="1" outlineLevel="1" x14ac:dyDescent="0.3">
      <c r="A2" s="63" t="s">
        <v>50</v>
      </c>
      <c r="B2" s="63" t="str">
        <f>Server</f>
        <v>Planning Sample</v>
      </c>
      <c r="C2" s="63"/>
      <c r="D2" s="56"/>
      <c r="E2" s="56"/>
      <c r="F2" s="56"/>
      <c r="G2" s="56"/>
      <c r="H2" s="56"/>
      <c r="I2" s="56"/>
    </row>
    <row r="3" spans="1:9" hidden="1" outlineLevel="1" x14ac:dyDescent="0.3">
      <c r="A3" s="63" t="s">
        <v>51</v>
      </c>
      <c r="B3" s="63" t="b">
        <v>1</v>
      </c>
      <c r="C3" s="63"/>
      <c r="D3" s="56"/>
      <c r="E3" s="56"/>
      <c r="F3" s="56"/>
      <c r="G3" s="56"/>
      <c r="H3" s="56"/>
      <c r="I3" s="56"/>
    </row>
    <row r="4" spans="1:9" hidden="1" outlineLevel="1" x14ac:dyDescent="0.3">
      <c r="A4" s="63" t="s">
        <v>52</v>
      </c>
      <c r="B4" s="63">
        <v>1</v>
      </c>
      <c r="C4" s="63"/>
      <c r="D4" s="56"/>
      <c r="E4" s="56"/>
      <c r="F4" s="56"/>
      <c r="G4" s="56"/>
      <c r="H4" s="56"/>
      <c r="I4" s="56"/>
    </row>
    <row r="5" spans="1:9" hidden="1" outlineLevel="1" x14ac:dyDescent="0.3">
      <c r="A5" s="63" t="s">
        <v>53</v>
      </c>
      <c r="B5" s="63" t="str">
        <f>"{" &amp; $C$5 &amp; "" &amp; "}"</f>
        <v>{"[plan_controls].[plan_controls]" : "Variable","[plan_measure_setting].[plan_measure_setting]" : "Setting"}</v>
      </c>
      <c r="C5" s="63" t="str">
        <f>_xll.ConcatStrings(",",$D$5:$E$5)</f>
        <v>"[plan_controls].[plan_controls]" : "Variable","[plan_measure_setting].[plan_measure_setting]" : "Setting"</v>
      </c>
      <c r="D5" s="63" t="str">
        <f>_xll.ConcatStrings(",",$B$15:$B$15)</f>
        <v>"[plan_controls].[plan_controls]" : "Variable"</v>
      </c>
      <c r="E5" s="63" t="str">
        <f>_xll.ConcatStrings(",",$B$26:$B$26)</f>
        <v>"[plan_measure_setting].[plan_measure_setting]" : "Setting"</v>
      </c>
      <c r="F5" s="56"/>
      <c r="G5" s="56"/>
      <c r="H5" s="56"/>
      <c r="I5" s="56"/>
    </row>
    <row r="6" spans="1:9" hidden="1" outlineLevel="1" x14ac:dyDescent="0.3">
      <c r="A6" s="63" t="s">
        <v>54</v>
      </c>
      <c r="B6" s="63" t="str">
        <f>"{" &amp; $C$6 &amp; "" &amp; "}"</f>
        <v>{"[plan_controls].[plan_controls]" : "false","[plan_measure_setting].[plan_measure_setting]" : "false"}</v>
      </c>
      <c r="C6" s="63" t="str">
        <f>_xll.ConcatStrings(",",$D$6:$E$6)</f>
        <v>"[plan_controls].[plan_controls]" : "false","[plan_measure_setting].[plan_measure_setting]" : "false"</v>
      </c>
      <c r="D6" s="63" t="str">
        <f>_xll.ConcatStrings(",",$B$16:$B$16)</f>
        <v>"[plan_controls].[plan_controls]" : "false"</v>
      </c>
      <c r="E6" s="63" t="str">
        <f>_xll.ConcatStrings(",",$B$27:$B$27)</f>
        <v>"[plan_measure_setting].[plan_measure_setting]" : "false"</v>
      </c>
      <c r="F6" s="56"/>
      <c r="G6" s="56"/>
      <c r="H6" s="56"/>
      <c r="I6" s="56"/>
    </row>
    <row r="7" spans="1:9" hidden="1" outlineLevel="1" x14ac:dyDescent="0.3">
      <c r="A7" s="56"/>
      <c r="B7" s="56"/>
      <c r="C7" s="56"/>
      <c r="D7" s="56"/>
      <c r="E7" s="56"/>
      <c r="F7" s="56"/>
      <c r="G7" s="56"/>
      <c r="H7" s="56"/>
      <c r="I7" s="56"/>
    </row>
    <row r="8" spans="1:9" hidden="1" outlineLevel="1" x14ac:dyDescent="0.3">
      <c r="A8" s="63" t="s">
        <v>55</v>
      </c>
      <c r="B8" s="63" t="str">
        <f>_xll.MakeQuery($B$34,$C$30,$C$19,"plan_Control",$B$32,"")</f>
        <v xml:space="preserve"> SELECT  TM1IGNORE_BADTUPLES {  {  { TM1SubsetToSet([plan_measure_setting].[plan_measure_setting],'yw5ci3kDAIAIAAAQ') }  }  }  DIMENSION PROPERTIES MEMBER_UNIQUE_NAME, MEMBER_NAME, MEMBER_CAPTION, LEVEL_NUMBER, CHILDREN_CARDINALITY ON 0, TM1IGNORE_BADTUPLES {  {  { TM1SubsetToSet([plan_controls].[plan_controls],'yw5ci3kDAIAKAAAQ') }  }  }  DIMENSION PROPERTIES MEMBER_UNIQUE_NAME, MEMBER_NAME, MEMBER_CAPTION, LEVEL_NUMBER, CHILDREN_CARDINALITY ON 1 FROM [plan_Control]</v>
      </c>
      <c r="C8" s="63"/>
      <c r="D8" s="56"/>
      <c r="E8" s="56"/>
      <c r="F8" s="56"/>
      <c r="G8" s="56"/>
      <c r="H8" s="56"/>
      <c r="I8" s="56"/>
    </row>
    <row r="9" spans="1:9" hidden="1" outlineLevel="1" x14ac:dyDescent="0.3">
      <c r="A9" s="56"/>
      <c r="B9" s="56"/>
      <c r="C9" s="56"/>
      <c r="D9" s="56"/>
      <c r="E9" s="56"/>
      <c r="F9" s="56"/>
      <c r="G9" s="56"/>
      <c r="H9" s="56"/>
      <c r="I9" s="56"/>
    </row>
    <row r="10" spans="1:9" hidden="1" outlineLevel="1" x14ac:dyDescent="0.3">
      <c r="A10" s="63" t="s">
        <v>56</v>
      </c>
      <c r="B10" s="63" t="s">
        <v>71</v>
      </c>
      <c r="C10" s="63"/>
      <c r="D10" s="56"/>
      <c r="E10" s="56"/>
      <c r="F10" s="56"/>
      <c r="G10" s="56"/>
      <c r="H10" s="56"/>
      <c r="I10" s="56"/>
    </row>
    <row r="11" spans="1:9" hidden="1" outlineLevel="1" x14ac:dyDescent="0.3">
      <c r="A11" s="63"/>
      <c r="B11" s="63" t="s">
        <v>72</v>
      </c>
      <c r="C11" s="63"/>
      <c r="D11" s="56"/>
      <c r="E11" s="56"/>
      <c r="F11" s="56"/>
      <c r="G11" s="56"/>
      <c r="H11" s="56"/>
      <c r="I11" s="56"/>
    </row>
    <row r="12" spans="1:9" hidden="1" outlineLevel="1" x14ac:dyDescent="0.3">
      <c r="A12" s="63"/>
      <c r="B12" s="63" t="s">
        <v>72</v>
      </c>
      <c r="C12" s="63"/>
      <c r="D12" s="56"/>
      <c r="E12" s="56"/>
      <c r="F12" s="56"/>
      <c r="G12" s="56"/>
      <c r="H12" s="56"/>
      <c r="I12" s="56"/>
    </row>
    <row r="13" spans="1:9" hidden="1" outlineLevel="1" x14ac:dyDescent="0.3">
      <c r="A13" s="63"/>
      <c r="B13" s="63" t="s">
        <v>73</v>
      </c>
      <c r="C13" s="63"/>
      <c r="D13" s="56"/>
      <c r="E13" s="56"/>
      <c r="F13" s="56"/>
      <c r="G13" s="56"/>
      <c r="H13" s="56"/>
      <c r="I13" s="56"/>
    </row>
    <row r="14" spans="1:9" hidden="1" outlineLevel="1" x14ac:dyDescent="0.3">
      <c r="A14" s="63"/>
      <c r="B14" s="63" t="str">
        <f>_xll.MakeMun($B$11,_xll.BracketEscape($B$12))</f>
        <v>[plan_controls].[plan_controls]</v>
      </c>
      <c r="C14" s="63"/>
      <c r="D14" s="56"/>
      <c r="E14" s="56"/>
      <c r="F14" s="56"/>
      <c r="G14" s="56"/>
      <c r="H14" s="56"/>
      <c r="I14" s="56"/>
    </row>
    <row r="15" spans="1:9" hidden="1" outlineLevel="1" x14ac:dyDescent="0.3">
      <c r="A15" s="63"/>
      <c r="B15" s="63" t="str">
        <f>_xll.MakeJSON($B$14,$B$13)</f>
        <v>"[plan_controls].[plan_controls]" : "Variable"</v>
      </c>
      <c r="C15" s="63"/>
      <c r="D15" s="56"/>
      <c r="E15" s="56"/>
      <c r="F15" s="56"/>
      <c r="G15" s="56"/>
      <c r="H15" s="56"/>
      <c r="I15" s="56"/>
    </row>
    <row r="16" spans="1:9" hidden="1" outlineLevel="1" x14ac:dyDescent="0.3">
      <c r="A16" s="63"/>
      <c r="B16" s="63" t="str">
        <f>_xll.MakeJSON($B$14,"false")</f>
        <v>"[plan_controls].[plan_controls]" : "false"</v>
      </c>
      <c r="C16" s="63"/>
      <c r="D16" s="56"/>
      <c r="E16" s="56"/>
      <c r="F16" s="56"/>
      <c r="G16" s="56"/>
      <c r="H16" s="56"/>
      <c r="I16" s="56"/>
    </row>
    <row r="17" spans="1:9" hidden="1" outlineLevel="1" x14ac:dyDescent="0.3">
      <c r="A17" s="63"/>
      <c r="B17" s="63" t="str">
        <f>_xll.TM1SET($B$1,$B$2,$B$11,$B$12,$B$10,,,$B$13,"sessionSet")</f>
        <v>yw5ci3kDAIAKAAAQ</v>
      </c>
      <c r="C17" s="63"/>
      <c r="D17" s="56"/>
      <c r="E17" s="56"/>
      <c r="F17" s="56"/>
      <c r="G17" s="56"/>
      <c r="H17" s="56"/>
      <c r="I17" s="56"/>
    </row>
    <row r="18" spans="1:9" hidden="1" outlineLevel="1" x14ac:dyDescent="0.3">
      <c r="A18" s="63"/>
      <c r="B18" s="63" t="str">
        <f>"TM1SubsetToSet("&amp;$B$14&amp;","&amp;"'"&amp;$B$17&amp;"')"</f>
        <v>TM1SubsetToSet([plan_controls].[plan_controls],'yw5ci3kDAIAKAAAQ')</v>
      </c>
      <c r="C18" s="63"/>
      <c r="D18" s="56"/>
      <c r="E18" s="56"/>
      <c r="F18" s="56"/>
      <c r="G18" s="56"/>
      <c r="H18" s="56"/>
      <c r="I18" s="56"/>
    </row>
    <row r="19" spans="1:9" hidden="1" outlineLevel="1" x14ac:dyDescent="0.3">
      <c r="A19" s="63" t="str">
        <f>_xll.ConcatCrossJoin($B$18)</f>
        <v xml:space="preserve"> { TM1SubsetToSet([plan_controls].[plan_controls],'yw5ci3kDAIAKAAAQ') } </v>
      </c>
      <c r="B19" s="63" t="s">
        <v>74</v>
      </c>
      <c r="C19" s="63" t="str">
        <f>_xll.MakeAxis($B$35,$A$19,"1",$B$19)</f>
        <v xml:space="preserve"> TM1IGNORE_BADTUPLES {  {  { TM1SubsetToSet([plan_controls].[plan_controls],'yw5ci3kDAIAKAAAQ') }  }  }  DIMENSION PROPERTIES MEMBER_UNIQUE_NAME, MEMBER_NAME, MEMBER_CAPTION, LEVEL_NUMBER, CHILDREN_CARDINALITY ON 1</v>
      </c>
      <c r="D19" s="56"/>
      <c r="E19" s="56"/>
      <c r="F19" s="56"/>
      <c r="G19" s="56"/>
      <c r="H19" s="56"/>
      <c r="I19" s="56"/>
    </row>
    <row r="20" spans="1:9" hidden="1" outlineLevel="1" x14ac:dyDescent="0.3">
      <c r="A20" s="56"/>
      <c r="B20" s="56"/>
      <c r="C20" s="56"/>
      <c r="D20" s="56"/>
      <c r="E20" s="56"/>
      <c r="F20" s="56"/>
      <c r="G20" s="56"/>
      <c r="H20" s="56"/>
      <c r="I20" s="56"/>
    </row>
    <row r="21" spans="1:9" hidden="1" outlineLevel="1" x14ac:dyDescent="0.3">
      <c r="A21" s="63" t="s">
        <v>63</v>
      </c>
      <c r="B21" s="63" t="s">
        <v>75</v>
      </c>
      <c r="C21" s="63"/>
      <c r="D21" s="56"/>
      <c r="E21" s="56"/>
      <c r="F21" s="56"/>
      <c r="G21" s="56"/>
      <c r="H21" s="56"/>
      <c r="I21" s="56"/>
    </row>
    <row r="22" spans="1:9" hidden="1" outlineLevel="1" x14ac:dyDescent="0.3">
      <c r="A22" s="63"/>
      <c r="B22" s="63" t="s">
        <v>76</v>
      </c>
      <c r="C22" s="63"/>
      <c r="D22" s="56"/>
      <c r="E22" s="56"/>
      <c r="F22" s="56"/>
      <c r="G22" s="56"/>
      <c r="H22" s="56"/>
      <c r="I22" s="56"/>
    </row>
    <row r="23" spans="1:9" hidden="1" outlineLevel="1" x14ac:dyDescent="0.3">
      <c r="A23" s="63"/>
      <c r="B23" s="63" t="s">
        <v>76</v>
      </c>
      <c r="C23" s="63"/>
      <c r="D23" s="56"/>
      <c r="E23" s="56"/>
      <c r="F23" s="56"/>
      <c r="G23" s="56"/>
      <c r="H23" s="56"/>
      <c r="I23" s="56"/>
    </row>
    <row r="24" spans="1:9" hidden="1" outlineLevel="1" x14ac:dyDescent="0.3">
      <c r="A24" s="63"/>
      <c r="B24" s="63" t="s">
        <v>77</v>
      </c>
      <c r="C24" s="63"/>
      <c r="D24" s="56"/>
      <c r="E24" s="56"/>
      <c r="F24" s="56"/>
      <c r="G24" s="56"/>
      <c r="H24" s="56"/>
      <c r="I24" s="56"/>
    </row>
    <row r="25" spans="1:9" hidden="1" outlineLevel="1" x14ac:dyDescent="0.3">
      <c r="A25" s="63"/>
      <c r="B25" s="63" t="str">
        <f>_xll.MakeMun($B$22,_xll.BracketEscape($B$23))</f>
        <v>[plan_measure_setting].[plan_measure_setting]</v>
      </c>
      <c r="C25" s="63"/>
      <c r="D25" s="56"/>
      <c r="E25" s="56"/>
      <c r="F25" s="56"/>
      <c r="G25" s="56"/>
      <c r="H25" s="56"/>
      <c r="I25" s="56"/>
    </row>
    <row r="26" spans="1:9" hidden="1" outlineLevel="1" x14ac:dyDescent="0.3">
      <c r="A26" s="63"/>
      <c r="B26" s="63" t="str">
        <f>_xll.MakeJSON($B$25,$B$24)</f>
        <v>"[plan_measure_setting].[plan_measure_setting]" : "Setting"</v>
      </c>
      <c r="C26" s="63"/>
      <c r="D26" s="56"/>
      <c r="E26" s="56"/>
      <c r="F26" s="56"/>
      <c r="G26" s="56"/>
      <c r="H26" s="56"/>
      <c r="I26" s="56"/>
    </row>
    <row r="27" spans="1:9" hidden="1" outlineLevel="1" x14ac:dyDescent="0.3">
      <c r="A27" s="63"/>
      <c r="B27" s="63" t="str">
        <f>_xll.MakeJSON($B$25,"false")</f>
        <v>"[plan_measure_setting].[plan_measure_setting]" : "false"</v>
      </c>
      <c r="C27" s="63"/>
      <c r="D27" s="56"/>
      <c r="E27" s="56"/>
      <c r="F27" s="56"/>
      <c r="G27" s="56"/>
      <c r="H27" s="56"/>
      <c r="I27" s="56"/>
    </row>
    <row r="28" spans="1:9" hidden="1" outlineLevel="1" x14ac:dyDescent="0.3">
      <c r="A28" s="63"/>
      <c r="B28" s="63" t="str">
        <f>_xll.TM1SET($B$1,$B$2,$B$22,$B$23,$B$21,,,$B$24,"sessionSet")</f>
        <v>yw5ci3kDAIAIAAAQ</v>
      </c>
      <c r="C28" s="63"/>
      <c r="D28" s="56"/>
      <c r="E28" s="56"/>
      <c r="F28" s="56"/>
      <c r="G28" s="56"/>
      <c r="H28" s="56"/>
      <c r="I28" s="56"/>
    </row>
    <row r="29" spans="1:9" hidden="1" outlineLevel="1" x14ac:dyDescent="0.3">
      <c r="A29" s="63"/>
      <c r="B29" s="63" t="str">
        <f>"TM1SubsetToSet("&amp;$B$25&amp;","&amp;"'"&amp;$B$28&amp;"')"</f>
        <v>TM1SubsetToSet([plan_measure_setting].[plan_measure_setting],'yw5ci3kDAIAIAAAQ')</v>
      </c>
      <c r="C29" s="63"/>
      <c r="D29" s="56"/>
      <c r="E29" s="56"/>
      <c r="F29" s="56"/>
      <c r="G29" s="56"/>
      <c r="H29" s="56"/>
      <c r="I29" s="56"/>
    </row>
    <row r="30" spans="1:9" hidden="1" outlineLevel="1" x14ac:dyDescent="0.3">
      <c r="A30" s="63" t="str">
        <f>_xll.ConcatCrossJoin($B$29)</f>
        <v xml:space="preserve"> { TM1SubsetToSet([plan_measure_setting].[plan_measure_setting],'yw5ci3kDAIAIAAAQ') } </v>
      </c>
      <c r="B30" s="63" t="s">
        <v>74</v>
      </c>
      <c r="C30" s="63" t="str">
        <f>_xll.MakeAxis($A$35,$A$30,"0",$B$30)</f>
        <v xml:space="preserve"> TM1IGNORE_BADTUPLES {  {  { TM1SubsetToSet([plan_measure_setting].[plan_measure_setting],'yw5ci3kDAIAIAAAQ') }  }  }  DIMENSION PROPERTIES MEMBER_UNIQUE_NAME, MEMBER_NAME, MEMBER_CAPTION, LEVEL_NUMBER, CHILDREN_CARDINALITY ON 0</v>
      </c>
      <c r="D30" s="56"/>
      <c r="E30" s="56"/>
      <c r="F30" s="56"/>
      <c r="G30" s="56"/>
      <c r="H30" s="56"/>
      <c r="I30" s="56"/>
    </row>
    <row r="31" spans="1:9" hidden="1" outlineLevel="1" x14ac:dyDescent="0.3">
      <c r="A31" s="56"/>
      <c r="B31" s="56"/>
      <c r="C31" s="56"/>
      <c r="D31" s="56"/>
      <c r="E31" s="56"/>
      <c r="F31" s="56"/>
      <c r="G31" s="56"/>
      <c r="H31" s="56"/>
      <c r="I31" s="56"/>
    </row>
    <row r="32" spans="1:9" hidden="1" outlineLevel="1" x14ac:dyDescent="0.3">
      <c r="A32" s="63" t="s">
        <v>65</v>
      </c>
      <c r="B32" s="63"/>
      <c r="C32" s="63"/>
      <c r="D32" s="56"/>
      <c r="E32" s="56"/>
      <c r="F32" s="56"/>
      <c r="G32" s="56"/>
      <c r="H32" s="56"/>
      <c r="I32" s="56"/>
    </row>
    <row r="33" spans="1:10" hidden="1" outlineLevel="1" x14ac:dyDescent="0.3">
      <c r="A33" s="56"/>
      <c r="B33" s="56"/>
      <c r="C33" s="56"/>
      <c r="D33" s="56"/>
      <c r="E33" s="56"/>
      <c r="F33" s="56"/>
      <c r="G33" s="56"/>
      <c r="H33" s="56"/>
      <c r="I33" s="56"/>
    </row>
    <row r="34" spans="1:10" hidden="1" outlineLevel="1" x14ac:dyDescent="0.3">
      <c r="A34" s="63" t="s">
        <v>66</v>
      </c>
      <c r="B34" s="63" t="str">
        <f>_xll.ConcatStrings(,tm2\\_0_calcs)</f>
        <v/>
      </c>
      <c r="C34" s="64" t="s">
        <v>67</v>
      </c>
      <c r="D34" s="65"/>
      <c r="E34" s="65"/>
      <c r="F34" s="65"/>
      <c r="G34" s="65"/>
      <c r="H34" s="56"/>
      <c r="I34" s="56"/>
    </row>
    <row r="35" spans="1:10" hidden="1" outlineLevel="1" x14ac:dyDescent="0.3">
      <c r="A35" s="63" t="str">
        <f>IF(OR(COUNTIF($G$37, "*Supprimer les colonnes uniquement*"), COUNTIF($G$37, "*Supprimer les lignes et les colonnes*")), "NON EMPTY", "")</f>
        <v/>
      </c>
      <c r="B35" s="63" t="str">
        <f>IF(OR(COUNTIF($G$37, "*Supprimer les lignes uniquement*"), COUNTIF($G$37, "*Supprimer les lignes et les colonnes*")), "NON EMPTY", "")</f>
        <v/>
      </c>
      <c r="C35" s="56"/>
      <c r="D35" s="56"/>
      <c r="E35" s="56"/>
      <c r="F35" s="56"/>
      <c r="G35" s="66" t="str">
        <f ca="1">IF(_xll.TM2RPTELISCONSOLIDATED(G48),IF(_xll.TM2RPTELLEV(G48)&lt;=5,_xll.TM2RPTELLEV(G48),"Default"),"Leaf")</f>
        <v>Leaf</v>
      </c>
      <c r="H35" s="56"/>
      <c r="I35" s="56"/>
    </row>
    <row r="36" spans="1:10" hidden="1" outlineLevel="1" x14ac:dyDescent="0.3">
      <c r="A36" s="63" t="s">
        <v>68</v>
      </c>
      <c r="B36" s="63" t="s">
        <v>69</v>
      </c>
      <c r="C36" s="63" t="s">
        <v>43</v>
      </c>
      <c r="D36" s="63" t="s">
        <v>70</v>
      </c>
      <c r="E36" s="56"/>
      <c r="F36" s="56"/>
      <c r="G36" s="56"/>
      <c r="H36" s="56"/>
      <c r="I36" s="56"/>
    </row>
    <row r="37" spans="1:10" collapsed="1" x14ac:dyDescent="0.3">
      <c r="A37" s="56"/>
      <c r="B37" s="56"/>
      <c r="C37" s="56"/>
      <c r="D37" s="56"/>
      <c r="E37" s="56"/>
      <c r="F37" s="63" t="s">
        <v>44</v>
      </c>
      <c r="G37" s="63" t="s">
        <v>70</v>
      </c>
      <c r="H37" s="63"/>
      <c r="I37" s="56"/>
    </row>
    <row r="38" spans="1:10" x14ac:dyDescent="0.3">
      <c r="A38" s="56"/>
      <c r="B38" s="56"/>
      <c r="C38" s="56"/>
      <c r="D38" s="56"/>
      <c r="E38" s="56"/>
      <c r="F38" s="56"/>
      <c r="G38" s="56"/>
      <c r="H38" s="56"/>
      <c r="I38" s="56"/>
    </row>
    <row r="40" spans="1:10" x14ac:dyDescent="0.3">
      <c r="G40" s="48" t="s">
        <v>84</v>
      </c>
    </row>
    <row r="41" spans="1:10" x14ac:dyDescent="0.3">
      <c r="F41" s="48" t="s">
        <v>85</v>
      </c>
      <c r="G41" s="46" t="s">
        <v>87</v>
      </c>
    </row>
    <row r="42" spans="1:10" x14ac:dyDescent="0.3">
      <c r="F42" s="48" t="s">
        <v>86</v>
      </c>
      <c r="G42" s="46" t="s">
        <v>88</v>
      </c>
    </row>
    <row r="43" spans="1:10" x14ac:dyDescent="0.3">
      <c r="F43" s="48" t="s">
        <v>80</v>
      </c>
      <c r="G43" s="46" t="s">
        <v>89</v>
      </c>
    </row>
    <row r="46" spans="1:10" x14ac:dyDescent="0.3">
      <c r="A46" s="56"/>
      <c r="B46" s="56"/>
      <c r="C46" s="56"/>
      <c r="D46" s="56"/>
      <c r="E46" s="56"/>
      <c r="H46" s="56"/>
      <c r="I46" s="56"/>
      <c r="J46" s="56"/>
    </row>
    <row r="47" spans="1:10" x14ac:dyDescent="0.3">
      <c r="A47" s="63"/>
      <c r="B47" s="63"/>
      <c r="C47" s="63"/>
      <c r="D47" s="63"/>
      <c r="E47" s="63"/>
      <c r="H47" s="63"/>
      <c r="I47" s="63"/>
      <c r="J47" s="56"/>
    </row>
    <row r="48" spans="1:10" x14ac:dyDescent="0.3">
      <c r="G48" s="48" t="s">
        <v>77</v>
      </c>
    </row>
    <row r="49" spans="3:7" x14ac:dyDescent="0.3">
      <c r="C49" s="44" t="str">
        <f ca="1">IF(_xll.TM2RPTELISCONSOLIDATED(F49),IF(_xll.TM2RPTELLEV(F49)&lt;=5,_xll.TM2RPTELLEV(F49),"Default"),"Leaf")</f>
        <v>Leaf</v>
      </c>
      <c r="F49" s="48" t="s">
        <v>78</v>
      </c>
      <c r="G49" s="46" t="s">
        <v>81</v>
      </c>
    </row>
    <row r="50" spans="3:7" x14ac:dyDescent="0.3">
      <c r="C50" s="44" t="str">
        <f ca="1">IF(_xll.TM2RPTELISCONSOLIDATED(F50),IF(_xll.TM2RPTELLEV(F50)&lt;=5,_xll.TM2RPTELLEV(F50),"Default"),"Leaf")</f>
        <v>Leaf</v>
      </c>
      <c r="F50" s="48" t="s">
        <v>79</v>
      </c>
      <c r="G50" s="46" t="s">
        <v>82</v>
      </c>
    </row>
    <row r="51" spans="3:7" x14ac:dyDescent="0.3">
      <c r="C51" s="44" t="str">
        <f ca="1">IF(_xll.TM2RPTELISCONSOLIDATED(F51),IF(_xll.TM2RPTELLEV(F51)&lt;=5,_xll.TM2RPTELLEV(F51),"Default"),"Leaf")</f>
        <v>Leaf</v>
      </c>
      <c r="F51" s="48" t="s">
        <v>80</v>
      </c>
      <c r="G51" s="46" t="s">
        <v>83</v>
      </c>
    </row>
  </sheetData>
  <conditionalFormatting sqref="F49:F51">
    <cfRule type="expression" dxfId="35" priority="36" stopIfTrue="1">
      <formula>OR(F49=OFFSET(F49,-1,0), LEFT(F49, LEN("Header_#"))="Header_#")</formula>
    </cfRule>
    <cfRule type="expression" dxfId="34" priority="37" stopIfTrue="1">
      <formula>$C49="Leaf"</formula>
    </cfRule>
    <cfRule type="expression" dxfId="33" priority="38" stopIfTrue="1">
      <formula>$C49="Default"</formula>
    </cfRule>
    <cfRule type="expression" dxfId="32" priority="39" stopIfTrue="1">
      <formula>$C49=0</formula>
    </cfRule>
    <cfRule type="expression" dxfId="31" priority="40" stopIfTrue="1">
      <formula>$C49=1</formula>
    </cfRule>
    <cfRule type="expression" dxfId="30" priority="41" stopIfTrue="1">
      <formula>$C49=2</formula>
    </cfRule>
    <cfRule type="expression" dxfId="29" priority="42" stopIfTrue="1">
      <formula>$C49=3</formula>
    </cfRule>
    <cfRule type="expression" dxfId="28" priority="43" stopIfTrue="1">
      <formula>$C49=4</formula>
    </cfRule>
    <cfRule type="expression" dxfId="27" priority="44" stopIfTrue="1">
      <formula>$C49=5</formula>
    </cfRule>
  </conditionalFormatting>
  <conditionalFormatting sqref="G49:G51">
    <cfRule type="expression" priority="45" stopIfTrue="1">
      <formula>$C49="Leaf"</formula>
    </cfRule>
    <cfRule type="expression" priority="46" stopIfTrue="1">
      <formula>$C49="Default"</formula>
    </cfRule>
    <cfRule type="expression" priority="47" stopIfTrue="1">
      <formula>$C49=0</formula>
    </cfRule>
    <cfRule type="expression" priority="48" stopIfTrue="1">
      <formula>$C49=1</formula>
    </cfRule>
    <cfRule type="expression" priority="49" stopIfTrue="1">
      <formula>$C49=2</formula>
    </cfRule>
    <cfRule type="expression" priority="50" stopIfTrue="1">
      <formula>$C49=3</formula>
    </cfRule>
    <cfRule type="expression" priority="51" stopIfTrue="1">
      <formula>$C49=4</formula>
    </cfRule>
    <cfRule type="expression" priority="52" stopIfTrue="1">
      <formula>$C49=5</formula>
    </cfRule>
    <cfRule type="expression" priority="61" stopIfTrue="1">
      <formula>G$35="Leaf"</formula>
    </cfRule>
    <cfRule type="expression" priority="62" stopIfTrue="1">
      <formula>G$35="Default"</formula>
    </cfRule>
    <cfRule type="expression" priority="63" stopIfTrue="1">
      <formula>G$35=0</formula>
    </cfRule>
    <cfRule type="expression" priority="64" stopIfTrue="1">
      <formula>G$35=1</formula>
    </cfRule>
    <cfRule type="expression" priority="65" stopIfTrue="1">
      <formula>G$35=2</formula>
    </cfRule>
    <cfRule type="expression" priority="66" stopIfTrue="1">
      <formula>G$35=3</formula>
    </cfRule>
    <cfRule type="expression" priority="67" stopIfTrue="1">
      <formula>G$35=4</formula>
    </cfRule>
    <cfRule type="expression" priority="68" stopIfTrue="1">
      <formula>G$35=5</formula>
    </cfRule>
  </conditionalFormatting>
  <conditionalFormatting sqref="G48">
    <cfRule type="expression" dxfId="26" priority="35" stopIfTrue="1">
      <formula>OR(G48=OFFSET(G48,0,-1), LEFT(G48, LEN("Header_#"))="Header_#")</formula>
    </cfRule>
    <cfRule type="expression" dxfId="25" priority="53" stopIfTrue="1">
      <formula>G$35="Leaf"</formula>
    </cfRule>
    <cfRule type="expression" dxfId="24" priority="54" stopIfTrue="1">
      <formula>G$35="Default"</formula>
    </cfRule>
    <cfRule type="expression" dxfId="23" priority="55" stopIfTrue="1">
      <formula>G$35=0</formula>
    </cfRule>
    <cfRule type="expression" dxfId="22" priority="56" stopIfTrue="1">
      <formula>G$35=1</formula>
    </cfRule>
    <cfRule type="expression" dxfId="21" priority="57" stopIfTrue="1">
      <formula>G$35=2</formula>
    </cfRule>
    <cfRule type="expression" dxfId="20" priority="58" stopIfTrue="1">
      <formula>G$35=3</formula>
    </cfRule>
    <cfRule type="expression" dxfId="19" priority="59" stopIfTrue="1">
      <formula>G$35=4</formula>
    </cfRule>
    <cfRule type="expression" dxfId="18" priority="60" stopIfTrue="1">
      <formula>G$35=5</formula>
    </cfRule>
  </conditionalFormatting>
  <conditionalFormatting sqref="F41:F43">
    <cfRule type="expression" dxfId="17" priority="2" stopIfTrue="1">
      <formula>OR(F41=OFFSET(F41,-1,0), LEFT(F41, LEN("Header_#"))="Header_#")</formula>
    </cfRule>
    <cfRule type="expression" dxfId="16" priority="3" stopIfTrue="1">
      <formula>$C41="Leaf"</formula>
    </cfRule>
    <cfRule type="expression" dxfId="15" priority="4" stopIfTrue="1">
      <formula>$C41="Default"</formula>
    </cfRule>
    <cfRule type="expression" dxfId="14" priority="5" stopIfTrue="1">
      <formula>$C41=0</formula>
    </cfRule>
    <cfRule type="expression" dxfId="13" priority="6" stopIfTrue="1">
      <formula>$C41=1</formula>
    </cfRule>
    <cfRule type="expression" dxfId="12" priority="7" stopIfTrue="1">
      <formula>$C41=2</formula>
    </cfRule>
    <cfRule type="expression" dxfId="11" priority="8" stopIfTrue="1">
      <formula>$C41=3</formula>
    </cfRule>
    <cfRule type="expression" dxfId="10" priority="9" stopIfTrue="1">
      <formula>$C41=4</formula>
    </cfRule>
    <cfRule type="expression" dxfId="9" priority="10" stopIfTrue="1">
      <formula>$C41=5</formula>
    </cfRule>
  </conditionalFormatting>
  <conditionalFormatting sqref="G41:G43">
    <cfRule type="expression" priority="11" stopIfTrue="1">
      <formula>$C41="Leaf"</formula>
    </cfRule>
    <cfRule type="expression" priority="12" stopIfTrue="1">
      <formula>$C41="Default"</formula>
    </cfRule>
    <cfRule type="expression" priority="13" stopIfTrue="1">
      <formula>$C41=0</formula>
    </cfRule>
    <cfRule type="expression" priority="14" stopIfTrue="1">
      <formula>$C41=1</formula>
    </cfRule>
    <cfRule type="expression" priority="15" stopIfTrue="1">
      <formula>$C41=2</formula>
    </cfRule>
    <cfRule type="expression" priority="16" stopIfTrue="1">
      <formula>$C41=3</formula>
    </cfRule>
    <cfRule type="expression" priority="17" stopIfTrue="1">
      <formula>$C41=4</formula>
    </cfRule>
    <cfRule type="expression" priority="18" stopIfTrue="1">
      <formula>$C41=5</formula>
    </cfRule>
    <cfRule type="expression" priority="27" stopIfTrue="1">
      <formula>G$35="Leaf"</formula>
    </cfRule>
    <cfRule type="expression" priority="28" stopIfTrue="1">
      <formula>G$35="Default"</formula>
    </cfRule>
    <cfRule type="expression" priority="29" stopIfTrue="1">
      <formula>G$35=0</formula>
    </cfRule>
    <cfRule type="expression" priority="30" stopIfTrue="1">
      <formula>G$35=1</formula>
    </cfRule>
    <cfRule type="expression" priority="31" stopIfTrue="1">
      <formula>G$35=2</formula>
    </cfRule>
    <cfRule type="expression" priority="32" stopIfTrue="1">
      <formula>G$35=3</formula>
    </cfRule>
    <cfRule type="expression" priority="33" stopIfTrue="1">
      <formula>G$35=4</formula>
    </cfRule>
    <cfRule type="expression" priority="34" stopIfTrue="1">
      <formula>G$35=5</formula>
    </cfRule>
  </conditionalFormatting>
  <conditionalFormatting sqref="G40">
    <cfRule type="expression" dxfId="8" priority="1" stopIfTrue="1">
      <formula>OR(G40=OFFSET(G40,0,-1), LEFT(G40, LEN("Header_#"))="Header_#")</formula>
    </cfRule>
    <cfRule type="expression" dxfId="7" priority="19" stopIfTrue="1">
      <formula>G$35="Leaf"</formula>
    </cfRule>
    <cfRule type="expression" dxfId="6" priority="20" stopIfTrue="1">
      <formula>G$35="Default"</formula>
    </cfRule>
    <cfRule type="expression" dxfId="5" priority="21" stopIfTrue="1">
      <formula>G$35=0</formula>
    </cfRule>
    <cfRule type="expression" dxfId="4" priority="22" stopIfTrue="1">
      <formula>G$35=1</formula>
    </cfRule>
    <cfRule type="expression" dxfId="3" priority="23" stopIfTrue="1">
      <formula>G$35=2</formula>
    </cfRule>
    <cfRule type="expression" dxfId="2" priority="24" stopIfTrue="1">
      <formula>G$35=3</formula>
    </cfRule>
    <cfRule type="expression" dxfId="1" priority="25" stopIfTrue="1">
      <formula>G$35=4</formula>
    </cfRule>
    <cfRule type="expression" dxfId="0" priority="26" stopIfTrue="1">
      <formula>G$35=5</formula>
    </cfRule>
  </conditionalFormatting>
  <dataValidations count="1">
    <dataValidation type="list" errorStyle="information" allowBlank="1" showInputMessage="1" showErrorMessage="1" sqref="G37" xr:uid="{F55EED54-CADB-4C16-8597-CB902603A00A}">
      <formula1>$A$36:$D$36</formula1>
    </dataValidation>
  </dataValidations>
  <pageMargins left="0.7" right="0.7" top="0.75" bottom="0.75" header="0.3" footer="0.3"/>
  <headerFooter>
    <oddFooter>&amp;C_x000D_&amp;1#&amp;"arial"&amp;9&amp;K008000 C1 - Internal use</oddFooter>
  </headerFooter>
  <customProperties>
    <customPr name="TM1Actions" r:id="rId1"/>
  </customPropertie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EA4D-096D-4E10-B1B0-1A87DD8AB588}">
  <sheetPr codeName="Feuil9"/>
  <dimension ref="A1:B6"/>
  <sheetViews>
    <sheetView showGridLines="0" workbookViewId="0">
      <selection activeCell="H21" sqref="H21"/>
    </sheetView>
  </sheetViews>
  <sheetFormatPr baseColWidth="10" defaultRowHeight="14.4" x14ac:dyDescent="0.3"/>
  <cols>
    <col min="2" max="2" width="19.44140625" customWidth="1"/>
  </cols>
  <sheetData>
    <row r="1" spans="1:2" x14ac:dyDescent="0.3">
      <c r="A1" s="42" t="s">
        <v>49</v>
      </c>
      <c r="B1" t="str" cm="1">
        <f t="array" ref="B1">_xll.TM1PRIMARYDATASOURCE()</f>
        <v>https://oa-pa-users.planning-analytics.cloud.ibm.com/</v>
      </c>
    </row>
    <row r="2" spans="1:2" x14ac:dyDescent="0.3">
      <c r="A2" s="42" t="s">
        <v>50</v>
      </c>
      <c r="B2" t="str" cm="1">
        <f t="array" ref="B2">_xll.TM1PRIMARYDBNAME()</f>
        <v>Planning Sample</v>
      </c>
    </row>
    <row r="3" spans="1:2" x14ac:dyDescent="0.3">
      <c r="A3" s="42" t="s">
        <v>90</v>
      </c>
      <c r="B3" t="s">
        <v>91</v>
      </c>
    </row>
    <row r="4" spans="1:2" x14ac:dyDescent="0.3">
      <c r="A4" s="53" t="s">
        <v>92</v>
      </c>
      <c r="B4" t="s">
        <v>95</v>
      </c>
    </row>
    <row r="5" spans="1:2" x14ac:dyDescent="0.3">
      <c r="A5" s="53" t="s">
        <v>93</v>
      </c>
      <c r="B5" t="s">
        <v>96</v>
      </c>
    </row>
    <row r="6" spans="1:2" x14ac:dyDescent="0.3">
      <c r="A6" s="53" t="s">
        <v>94</v>
      </c>
      <c r="B6" t="s">
        <v>97</v>
      </c>
    </row>
  </sheetData>
  <pageMargins left="0.7" right="0.7" top="0.75" bottom="0.75" header="0.3" footer="0.3"/>
  <headerFooter>
    <oddFooter>&amp;C_x000D_&amp;1#&amp;"arial"&amp;9&amp;K008000 C1 -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55</vt:i4>
      </vt:variant>
    </vt:vector>
  </HeadingPairs>
  <TitlesOfParts>
    <vt:vector size="63" baseType="lpstr">
      <vt:lpstr>Exploration</vt:lpstr>
      <vt:lpstr>Quick</vt:lpstr>
      <vt:lpstr>Dynamic</vt:lpstr>
      <vt:lpstr>Custom</vt:lpstr>
      <vt:lpstr>Universal</vt:lpstr>
      <vt:lpstr>Universal (static)</vt:lpstr>
      <vt:lpstr>TI button</vt:lpstr>
      <vt:lpstr>Parameters</vt:lpstr>
      <vt:lpstr>Datasource</vt:lpstr>
      <vt:lpstr>msg_confirm</vt:lpstr>
      <vt:lpstr>msg_fail</vt:lpstr>
      <vt:lpstr>msg_success</vt:lpstr>
      <vt:lpstr>Server</vt:lpstr>
      <vt:lpstr>TI_name</vt:lpstr>
      <vt:lpstr>TI_param</vt:lpstr>
      <vt:lpstr>tm1\\_0_C</vt:lpstr>
      <vt:lpstr>tm1\\_0_L</vt:lpstr>
      <vt:lpstr>tm1\\_0_R</vt:lpstr>
      <vt:lpstr>tm1\\_0_S</vt:lpstr>
      <vt:lpstr>tm1\\_0_T</vt:lpstr>
      <vt:lpstr>Dynamic!TM1RPTDATARNG62360598</vt:lpstr>
      <vt:lpstr>Dynamic!TM1RPTFMTIDCOL62360598</vt:lpstr>
      <vt:lpstr>Dynamic!TM1RPTFMTRNG62360598</vt:lpstr>
      <vt:lpstr>Dynamic!TM1RPTQRYRNG62360598</vt:lpstr>
      <vt:lpstr>Dynamic!TM1RPTVIEWRNG62360598</vt:lpstr>
      <vt:lpstr>'TI button'!tm2\\_0_c</vt:lpstr>
      <vt:lpstr>Universal!tm2\\_0_c</vt:lpstr>
      <vt:lpstr>'TI button'!tm2\\_0_calcs</vt:lpstr>
      <vt:lpstr>Universal!tm2\\_0_calcs</vt:lpstr>
      <vt:lpstr>'Universal (static)'!tm2\\_0_calcs</vt:lpstr>
      <vt:lpstr>'TI button'!tm2\\_0_cg</vt:lpstr>
      <vt:lpstr>Universal!tm2\\_0_cg</vt:lpstr>
      <vt:lpstr>'Universal (static)'!tm2\\_0_cg</vt:lpstr>
      <vt:lpstr>'Universal (static)'!tm2\\_0_cm</vt:lpstr>
      <vt:lpstr>'TI button'!tm2\\_0_cx</vt:lpstr>
      <vt:lpstr>Universal!tm2\\_0_cx</vt:lpstr>
      <vt:lpstr>'TI button'!tm2\\_0_d</vt:lpstr>
      <vt:lpstr>Universal!tm2\\_0_d</vt:lpstr>
      <vt:lpstr>'Universal (static)'!tm2\\_0_d</vt:lpstr>
      <vt:lpstr>'TI button'!tm2\\_0_p</vt:lpstr>
      <vt:lpstr>Universal!tm2\\_0_p</vt:lpstr>
      <vt:lpstr>'Universal (static)'!tm2\\_0_p</vt:lpstr>
      <vt:lpstr>'TI button'!tm2\\_0_q</vt:lpstr>
      <vt:lpstr>Universal!tm2\\_0_q</vt:lpstr>
      <vt:lpstr>'Universal (static)'!tm2\\_0_q</vt:lpstr>
      <vt:lpstr>'TI button'!tm2\\_0_r</vt:lpstr>
      <vt:lpstr>Universal!tm2\\_0_r</vt:lpstr>
      <vt:lpstr>'TI button'!tm2\\_0_rg</vt:lpstr>
      <vt:lpstr>Universal!tm2\\_0_rg</vt:lpstr>
      <vt:lpstr>'Universal (static)'!tm2\\_0_rg</vt:lpstr>
      <vt:lpstr>'Universal (static)'!tm2\\_0_rm</vt:lpstr>
      <vt:lpstr>'TI button'!tm2\\_0_rx</vt:lpstr>
      <vt:lpstr>Universal!tm2\\_0_rx</vt:lpstr>
      <vt:lpstr>Universal!tm2\\_0_slicers</vt:lpstr>
      <vt:lpstr>'Universal (static)'!tm2\\_0_slicers</vt:lpstr>
      <vt:lpstr>'TI button'!tm2\\_hc</vt:lpstr>
      <vt:lpstr>Universal!tm2\\_hc</vt:lpstr>
      <vt:lpstr>'Universal (static)'!tm2\\_hc</vt:lpstr>
      <vt:lpstr>'TI button'!tm2\\_hr</vt:lpstr>
      <vt:lpstr>Universal!tm2\\_hr</vt:lpstr>
      <vt:lpstr>'Universal (static)'!tm2\\_hr</vt:lpstr>
      <vt:lpstr>'TI button'!tm2\\_tracked</vt:lpstr>
      <vt:lpstr>Universal!tm2\\_tracked</vt:lpstr>
    </vt:vector>
  </TitlesOfParts>
  <Company>LOREAL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CROHAS Paul</dc:creator>
  <cp:lastModifiedBy>CROHAS Paul</cp:lastModifiedBy>
  <dcterms:created xsi:type="dcterms:W3CDTF">2024-08-19T13:14:02Z</dcterms:created>
  <dcterms:modified xsi:type="dcterms:W3CDTF">2024-08-19T13:57:20Z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3b7177-c66c-4b22-a350-7ee86f9a1e74_Enabled">
    <vt:lpwstr>true</vt:lpwstr>
  </property>
  <property fmtid="{D5CDD505-2E9C-101B-9397-08002B2CF9AE}" pid="3" name="MSIP_Label_f43b7177-c66c-4b22-a350-7ee86f9a1e74_SetDate">
    <vt:lpwstr>2024-08-19T13:32:48Z</vt:lpwstr>
  </property>
  <property fmtid="{D5CDD505-2E9C-101B-9397-08002B2CF9AE}" pid="4" name="MSIP_Label_f43b7177-c66c-4b22-a350-7ee86f9a1e74_Method">
    <vt:lpwstr>Standard</vt:lpwstr>
  </property>
  <property fmtid="{D5CDD505-2E9C-101B-9397-08002B2CF9AE}" pid="5" name="MSIP_Label_f43b7177-c66c-4b22-a350-7ee86f9a1e74_Name">
    <vt:lpwstr>C1_Internal use</vt:lpwstr>
  </property>
  <property fmtid="{D5CDD505-2E9C-101B-9397-08002B2CF9AE}" pid="6" name="MSIP_Label_f43b7177-c66c-4b22-a350-7ee86f9a1e74_SiteId">
    <vt:lpwstr>e4e1abd9-eac7-4a71-ab52-da5c998aa7ba</vt:lpwstr>
  </property>
  <property fmtid="{D5CDD505-2E9C-101B-9397-08002B2CF9AE}" pid="7" name="MSIP_Label_f43b7177-c66c-4b22-a350-7ee86f9a1e74_ActionId">
    <vt:lpwstr>a19cd06c-312c-4070-8bd5-60d2376ac670</vt:lpwstr>
  </property>
  <property fmtid="{D5CDD505-2E9C-101B-9397-08002B2CF9AE}" pid="8" name="MSIP_Label_f43b7177-c66c-4b22-a350-7ee86f9a1e74_ContentBits">
    <vt:lpwstr>2</vt:lpwstr>
  </property>
</Properties>
</file>